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5ce33b756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74112fbd3840d4"/>
    <x:sheet xmlns:r="http://schemas.openxmlformats.org/officeDocument/2006/relationships" name="Data_Sintetis" sheetId="2" r:id="R6c4ddf1e1ad64123"/>
    <x:sheet xmlns:r="http://schemas.openxmlformats.org/officeDocument/2006/relationships" name="Analisis" sheetId="3" r:id="Reefba202605948bc"/>
    <x:sheet xmlns:r="http://schemas.openxmlformats.org/officeDocument/2006/relationships" name="Instrumen_Survei" sheetId="4" r:id="R066dccc7c1c1477f"/>
    <x:sheet xmlns:r="http://schemas.openxmlformats.org/officeDocument/2006/relationships" name="Catatan_Etis" sheetId="5" r:id="R2081303dfde0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.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F766E"/>
      <x:name val="Carlito"/>
    </x:font>
    <x:font>
      <x:b/>
      <x:sz val="11"/>
      <x:color rgb="FFBE123C"/>
      <x:name val="Carlito"/>
    </x:font>
    <x:font>
      <x:b/>
      <x:sz val="10"/>
      <x:color rgb="FF475569"/>
      <x:name val="Carlito"/>
    </x:font>
    <x:font>
      <x:b/>
      <x:sz val="22"/>
      <x:color rgb="FF0F766E"/>
      <x:name val="Carlito"/>
    </x:font>
    <x:font>
      <x:b/>
      <x:sz val="22"/>
      <x:color rgb="FF6D28D9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sz val="11"/>
      <x:color rgb="FFBE123C"/>
      <x:name val="Carlito"/>
    </x:font>
    <x:font>
      <x:b/>
      <x:sz val="11"/>
      <x:color rgb="FF0F766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FF1F2"/>
      </x:patternFill>
    </x:fill>
    <x:fill>
      <x:patternFill patternType="solid">
        <x:fgColor rgb="FFE6FFFA"/>
      </x:patternFill>
    </x:fill>
    <x:fill>
      <x:patternFill patternType="solid">
        <x:fgColor rgb="FFF5F3FF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BE123C"/>
      </x:patternFill>
    </x:fill>
  </x:fills>
  <x:borders count="23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12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 applyAlignment="1">
      <x:alignment horizontal="center"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200" fontId="6" fillId="6" borderId="9" xfId="0" applyNumberFormat="1" applyFont="1" applyFill="1" applyBorder="1" applyAlignment="1">
      <x:alignment horizontal="center" vertical="center"/>
    </x:xf>
    <x:xf numFmtId="201" fontId="5" fillId="5" borderId="3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3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horizontal="center" wrapText="1"/>
    </x:xf>
    <x:xf numFmtId="0" fontId="7" fillId="7" borderId="1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3" xfId="0" applyNumberFormat="1" applyFont="1" applyFill="1" applyBorder="1"/>
    <x:xf numFmtId="0" fontId="8" fillId="8" borderId="13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vertical="top"/>
    </x:xf>
    <x:xf numFmtId="0" fontId="0" fillId="4" borderId="14" xfId="0" applyNumberFormat="1" applyFont="1" applyFill="1" applyBorder="1" applyAlignment="1">
      <x:alignment vertical="top"/>
    </x:xf>
    <x:xf numFmtId="0" fontId="3" fillId="4" borderId="14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8" xfId="0" applyNumberFormat="1" applyFont="1" applyFill="1" applyBorder="1"/>
    <x:xf numFmtId="0" fontId="9" fillId="4" borderId="19" xfId="0" applyNumberFormat="1" applyFont="1" applyFill="1" applyBorder="1"/>
    <x:xf numFmtId="0" fontId="9" fillId="4" borderId="20" xfId="0" applyNumberFormat="1" applyFont="1" applyFill="1" applyBorder="1"/>
    <x:xf numFmtId="0" fontId="9" fillId="4" borderId="21" xfId="0" applyNumberFormat="1" applyFont="1" applyFill="1" applyBorder="1"/>
    <x:xf numFmtId="0" fontId="9" fillId="4" borderId="22" xfId="0" applyNumberFormat="1" applyFont="1" applyFill="1" applyBorder="1"/>
    <x:xf numFmtId="0" fontId="9" fillId="4" borderId="15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0" fontId="9" fillId="4" borderId="17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19" xfId="0" applyNumberFormat="1" applyFont="1" applyFill="1" applyBorder="1" applyAlignment="1">
      <x:alignment wrapText="1"/>
    </x:xf>
    <x:xf numFmtId="0" fontId="9" fillId="4" borderId="20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vertical="center" wrapText="1"/>
    </x:xf>
    <x:xf numFmtId="0" fontId="9" fillId="4" borderId="16" xfId="0" applyNumberFormat="1" applyFont="1" applyFill="1" applyBorder="1" applyAlignment="1">
      <x:alignment vertical="center" wrapText="1"/>
    </x:xf>
    <x:xf numFmtId="0" fontId="9" fillId="4" borderId="17" xfId="0" applyNumberFormat="1" applyFont="1" applyFill="1" applyBorder="1" applyAlignment="1">
      <x:alignment vertical="center" wrapText="1"/>
    </x:xf>
    <x:xf numFmtId="0" fontId="9" fillId="4" borderId="18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vertical="center" wrapText="1"/>
    </x:xf>
    <x:xf numFmtId="0" fontId="9" fillId="4" borderId="20" xfId="0" applyNumberFormat="1" applyFont="1" applyFill="1" applyBorder="1" applyAlignment="1">
      <x:alignment vertical="center" wrapText="1"/>
    </x:xf>
    <x:xf numFmtId="0" fontId="9" fillId="4" borderId="21" xfId="0" applyNumberFormat="1" applyFont="1" applyFill="1" applyBorder="1" applyAlignment="1">
      <x:alignment vertical="center" wrapText="1"/>
    </x:xf>
    <x:xf numFmtId="0" fontId="9" fillId="4" borderId="22" xfId="0" applyNumberFormat="1" applyFont="1" applyFill="1" applyBorder="1" applyAlignment="1">
      <x:alignment vertical="center" wrapText="1"/>
    </x:xf>
    <x:xf numFmtId="0" fontId="9" fillId="9" borderId="15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c638270844353" /><Relationship Type="http://schemas.openxmlformats.org/officeDocument/2006/relationships/theme" Target="/xl/theme/theme1.xml" Id="Re29fed28178a4511" /><Relationship Type="http://schemas.openxmlformats.org/officeDocument/2006/relationships/sharedStrings" Target="/xl/sharedStrings.xml" Id="Rc508d1436ff548b5" /><Relationship Type="http://schemas.openxmlformats.org/officeDocument/2006/relationships/worksheet" Target="/xl/worksheets/sheet1.xml" Id="Rc174112fbd3840d4" /><Relationship Type="http://schemas.openxmlformats.org/officeDocument/2006/relationships/worksheet" Target="/xl/worksheets/sheet2.xml" Id="R6c4ddf1e1ad64123" /><Relationship Type="http://schemas.openxmlformats.org/officeDocument/2006/relationships/worksheet" Target="/xl/worksheets/sheet3.xml" Id="Reefba202605948bc" /><Relationship Type="http://schemas.openxmlformats.org/officeDocument/2006/relationships/worksheet" Target="/xl/worksheets/sheet4.xml" Id="R066dccc7c1c1477f" /><Relationship Type="http://schemas.openxmlformats.org/officeDocument/2006/relationships/worksheet" Target="/xl/worksheets/sheet5.xml" Id="R2081303dfde04a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dfe5a4ef9d4adb" /><Relationship Type="http://schemas.openxmlformats.org/officeDocument/2006/relationships/chart" Target="/xl/drawings/charts/chart2.xml" Id="R5485148642a44707" /><Relationship Type="http://schemas.openxmlformats.org/officeDocument/2006/relationships/chart" Target="/xl/drawings/charts/chart3.xml" Id="Ra8aa934e566f41f9" /><Relationship Type="http://schemas.openxmlformats.org/officeDocument/2006/relationships/chart" Target="/xl/drawings/charts/chart4.xml" Id="Reaec5ab7943e44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Rata-rata Skor Pengalaman (1–5)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Rata-rata</c:v>
          </c:tx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Fitur yang Paling Dipilih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'Dashboard'!$D$13:$D$18</c:f>
              <c:strCache>
                <c:ptCount val="0"/>
              </c:strCache>
            </c:strRef>
          </c:cat>
          <c:val>
            <c:numRef>
              <c:f>'Dashboard'!$E$13:$E$18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Keberhasilan Skenario Tugas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Jumlah</c:v>
          </c:tx>
          <c:cat>
            <c:strRef>
              <c:f>'Dashboard'!$G$13:$G$14</c:f>
              <c:strCache>
                <c:ptCount val="0"/>
              </c:strCache>
            </c:strRef>
          </c:cat>
          <c:val>
            <c:numRef>
              <c:f>'Dashboard'!$H$13:$H$14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Skor Aksesibilitas per Kebutuhan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Rata-rata aksesibilitas</c:v>
          </c:tx>
          <c:cat>
            <c:strRef>
              <c:f>'Dashboard'!$J$13:$J$18</c:f>
              <c:strCache>
                <c:ptCount val="0"/>
              </c:strCache>
            </c:strRef>
          </c:cat>
          <c:val>
            <c:numRef>
              <c:f>'Dashboard'!$K$13:$K$18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dfe5a4ef9d4adb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85148642a44707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a934e566f41f9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ec5ab7943e44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FeedbackTable" displayName="SyntheticFeedbackTable" ref="A4:R34" headerRowCount="1">
  <x:autoFilter ref="A4:R34"/>
  <x:tableColumns count="18">
    <x:tableColumn id="1" name="ID"/>
    <x:tableColumn id="2" name="Status data"/>
    <x:tableColumn id="3" name="Peran"/>
    <x:tableColumn id="4" name="Kebutuhan akses"/>
    <x:tableColumn id="5" name="Perangkat"/>
    <x:tableColumn id="6" name="Skenario tugas"/>
    <x:tableColumn id="7" name="Keberhasilan"/>
    <x:tableColumn id="8" name="Waktu (menit)"/>
    <x:tableColumn id="9" name="Kemudahan"/>
    <x:tableColumn id="10" name="Kejelasan"/>
    <x:tableColumn id="11" name="Aksesibilitas"/>
    <x:tableColumn id="12" name="Kepercayaan AI"/>
    <x:tableColumn id="13" name="Kendali manusia"/>
    <x:tableColumn id="14" name="Kegunaan timeline"/>
    <x:tableColumn id="15" name="Kegunaan chatbot"/>
    <x:tableColumn id="16" name="Fitur pilihan"/>
    <x:tableColumn id="17" name="Minat menggunakan"/>
    <x:tableColumn id="18" name="Feedback terbuk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dc8779cb3841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f96ef08a3d4b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4" t="str">
        <x:v>Dashboard Feedback Pengguna AmanAkses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DATA SINTETIS UNTUK LATIHAN ANALISIS — BUKAN HASIL PEER TEST ATAU SURVEI NYATA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Ringkasan simulasi untuk merancang instrumen, visualisasi, dan hipotesis perbaikan. Ganti seluruh data pada sheet Data_Sintetis setelah peer testing nyata dilakukan.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6">
      <x:c r="A6" s="31" t="str">
        <x:v>Respons sintetis</x:v>
      </x:c>
      <x:c r="B6" s="32"/>
      <x:c r="D6" s="54" t="str">
        <x:v>Rata-rata skor</x:v>
      </x:c>
      <x:c r="E6" s="55"/>
      <x:c r="G6" s="31" t="str">
        <x:v>Task success</x:v>
      </x:c>
      <x:c r="H6" s="32"/>
      <x:c r="J6" s="54" t="str">
        <x:v>Waktu rata-rata</x:v>
      </x:c>
      <x:c r="K6" s="55"/>
      <x:c r="M6" s="31" t="str">
        <x:v>Minat menggunakan</x:v>
      </x:c>
      <x:c r="N6" s="32"/>
    </x:row>
    <x:row r="7">
      <x:c r="A7" s="33" t="n">
        <x:f>COUNTA(Data_Sintetis!A5:A34)</x:f>
        <x:v>30</x:v>
      </x:c>
      <x:c r="B7" s="34"/>
      <x:c r="D7" s="58" t="n">
        <x:f>AVERAGE(Data_Sintetis!I5:O34)</x:f>
        <x:v>4.319047619047619</x:v>
      </x:c>
      <x:c r="E7" s="57"/>
      <x:c r="G7" s="59" t="n">
        <x:f>COUNTIF(Data_Sintetis!G5:G34,"Berhasil")/A7</x:f>
        <x:v>0.9</x:v>
      </x:c>
      <x:c r="H7" s="34"/>
      <x:c r="J7" s="60" t="n">
        <x:f>AVERAGE(Data_Sintetis!H5:H34)</x:f>
        <x:v>5.49</x:v>
      </x:c>
      <x:c r="K7" s="57"/>
      <x:c r="M7" s="59" t="n">
        <x:f>COUNTIF(Data_Sintetis!Q5:Q34,"Ya")/A7</x:f>
        <x:v>0.8666666666666667</x:v>
      </x:c>
      <x:c r="N7" s="34"/>
    </x:row>
    <x:row r="8">
      <x:c r="A8" s="33"/>
      <x:c r="B8" s="34"/>
      <x:c r="D8" s="56"/>
      <x:c r="E8" s="57"/>
      <x:c r="G8" s="33"/>
      <x:c r="H8" s="34"/>
      <x:c r="J8" s="56"/>
      <x:c r="K8" s="57"/>
      <x:c r="M8" s="33"/>
      <x:c r="N8" s="34"/>
    </x:row>
    <x:row r="9">
      <x:c r="A9" s="29"/>
      <x:c r="B9" s="30"/>
      <x:c r="D9" s="52"/>
      <x:c r="E9" s="53"/>
      <x:c r="G9" s="29"/>
      <x:c r="H9" s="30"/>
      <x:c r="J9" s="52"/>
      <x:c r="K9" s="53"/>
      <x:c r="M9" s="29"/>
      <x:c r="N9" s="30"/>
    </x:row>
    <x:row r="12">
      <x:c r="A12" s="66" t="str">
        <x:v>Dimensi</x:v>
      </x:c>
      <x:c r="B12" s="66" t="str">
        <x:v>Rata-rata</x:v>
      </x:c>
      <x:c r="D12" s="66" t="str">
        <x:v>Fitur pilihan</x:v>
      </x:c>
      <x:c r="E12" s="66" t="str">
        <x:v>Jumlah</x:v>
      </x:c>
      <x:c r="G12" s="66" t="str">
        <x:v>Status tugas</x:v>
      </x:c>
      <x:c r="H12" s="66" t="str">
        <x:v>Jumlah</x:v>
      </x:c>
      <x:c r="J12" s="66" t="str">
        <x:v>Kebutuhan akses</x:v>
      </x:c>
      <x:c r="K12" s="66" t="str">
        <x:v>Rata-rata aksesibilitas</x:v>
      </x:c>
    </x:row>
    <x:row r="13">
      <x:c r="A13" t="str">
        <x:v>Kemudahan</x:v>
      </x:c>
      <x:c r="B13" s="67" t="n">
        <x:f>AVERAGE(Data_Sintetis!I5:I34)</x:f>
        <x:v>4.2</x:v>
      </x:c>
      <x:c r="D13" t="str">
        <x:v>Safe Timeline Assistant</x:v>
      </x:c>
      <x:c r="E13" t="n">
        <x:f>COUNTIF(Data_Sintetis!P5:P34,"Safe Timeline Assistant")</x:f>
        <x:v>8</x:v>
      </x:c>
      <x:c r="G13" t="str">
        <x:v>Berhasil</x:v>
      </x:c>
      <x:c r="H13" t="n">
        <x:f>COUNTIF(Data_Sintetis!G5:G34,"Berhasil")</x:f>
        <x:v>27</x:v>
      </x:c>
      <x:c r="J13" t="str">
        <x:v>Tidak ada kebutuhan spesifik</x:v>
      </x:c>
      <x:c r="K13" s="67" t="n">
        <x:f>AVERAGEIF(Data_Sintetis!D5:D34,"Tidak ada kebutuhan spesifik",Data_Sintetis!K5:K34)</x:f>
        <x:v>3</x:v>
      </x:c>
    </x:row>
    <x:row r="14">
      <x:c r="A14" t="str">
        <x:v>Kejelasan</x:v>
      </x:c>
      <x:c r="B14" s="67" t="n">
        <x:f>AVERAGE(Data_Sintetis!J5:J34)</x:f>
        <x:v>4.533333333333333</x:v>
      </x:c>
      <x:c r="D14" t="str">
        <x:v>Asisten Aman AI</x:v>
      </x:c>
      <x:c r="E14" t="n">
        <x:f>COUNTIF(Data_Sintetis!P5:P34,"Asisten Aman AI")</x:f>
        <x:v>8</x:v>
      </x:c>
      <x:c r="G14" t="str">
        <x:v>Perlu bantuan</x:v>
      </x:c>
      <x:c r="H14" t="n">
        <x:f>COUNTIF(Data_Sintetis!G5:G34,"Perlu bantuan")</x:f>
        <x:v>3</x:v>
      </x:c>
      <x:c r="J14" t="str">
        <x:v>Penglihatan</x:v>
      </x:c>
      <x:c r="K14" s="67" t="n">
        <x:f>AVERAGEIF(Data_Sintetis!D5:D34,"Penglihatan",Data_Sintetis!K5:K34)</x:f>
        <x:v>5</x:v>
      </x:c>
    </x:row>
    <x:row r="15">
      <x:c r="A15" t="str">
        <x:v>Aksesibilitas</x:v>
      </x:c>
      <x:c r="B15" s="67" t="n">
        <x:f>AVERAGE(Data_Sintetis!K5:K34)</x:f>
        <x:v>4.5</x:v>
      </x:c>
      <x:c r="D15" t="str">
        <x:v>Jurnal Aman</x:v>
      </x:c>
      <x:c r="E15" t="n">
        <x:f>COUNTIF(Data_Sintetis!P5:P34,"Jurnal Aman")</x:f>
        <x:v>4</x:v>
      </x:c>
      <x:c r="J15" t="str">
        <x:v>Pendengaran</x:v>
      </x:c>
      <x:c r="K15" s="67" t="n">
        <x:f>AVERAGEIF(Data_Sintetis!D5:D34,"Pendengaran",Data_Sintetis!K5:K34)</x:f>
        <x:v>5</x:v>
      </x:c>
    </x:row>
    <x:row r="16">
      <x:c r="A16" t="str">
        <x:v>Kepercayaan AI</x:v>
      </x:c>
      <x:c r="B16" s="67" t="n">
        <x:f>AVERAGE(Data_Sintetis!L5:L34)</x:f>
        <x:v>4</x:v>
      </x:c>
      <x:c r="D16" t="str">
        <x:v>Aksesibilitas</x:v>
      </x:c>
      <x:c r="E16" t="n">
        <x:f>COUNTIF(Data_Sintetis!P5:P34,"Aksesibilitas")</x:f>
        <x:v>4</x:v>
      </x:c>
      <x:c r="J16" t="str">
        <x:v>Motorik</x:v>
      </x:c>
      <x:c r="K16" s="67" t="n">
        <x:f>AVERAGEIF(Data_Sintetis!D5:D34,"Motorik",Data_Sintetis!K5:K34)</x:f>
        <x:v>4</x:v>
      </x:c>
    </x:row>
    <x:row r="17">
      <x:c r="A17" t="str">
        <x:v>Kendali manusia</x:v>
      </x:c>
      <x:c r="B17" s="67" t="n">
        <x:f>AVERAGE(Data_Sintetis!M5:M34)</x:f>
        <x:v>4.5</x:v>
      </x:c>
      <x:c r="D17" t="str">
        <x:v>Keluar Cepat</x:v>
      </x:c>
      <x:c r="E17" t="n">
        <x:f>COUNTIF(Data_Sintetis!P5:P34,"Keluar Cepat")</x:f>
        <x:v>3</x:v>
      </x:c>
      <x:c r="J17" t="str">
        <x:v>Neurodivergent/kognitif</x:v>
      </x:c>
      <x:c r="K17" s="67" t="n">
        <x:f>AVERAGEIF(Data_Sintetis!D5:D34,"Neurodivergent/kognitif",Data_Sintetis!K5:K34)</x:f>
        <x:v>5</x:v>
      </x:c>
    </x:row>
    <x:row r="18">
      <x:c r="A18" t="str">
        <x:v>Kegunaan timeline</x:v>
      </x:c>
      <x:c r="B18" s="67" t="n">
        <x:f>AVERAGE(Data_Sintetis!N5:N34)</x:f>
        <x:v>4.5</x:v>
      </x:c>
      <x:c r="D18" t="str">
        <x:v>Persetujuan berbagi</x:v>
      </x:c>
      <x:c r="E18" t="n">
        <x:f>COUNTIF(Data_Sintetis!P5:P34,"Persetujuan berbagi")</x:f>
        <x:v>3</x:v>
      </x:c>
      <x:c r="J18" t="str">
        <x:v>Multi-disabilitas</x:v>
      </x:c>
      <x:c r="K18" s="67" t="n">
        <x:f>AVERAGEIF(Data_Sintetis!D5:D34,"Multi-disabilitas",Data_Sintetis!K5:K34)</x:f>
        <x:v>5</x:v>
      </x:c>
    </x:row>
    <x:row r="19">
      <x:c r="A19" t="str">
        <x:v>Kegunaan chatbot</x:v>
      </x:c>
      <x:c r="B19" s="67" t="n">
        <x:f>AVERAGE(Data_Sintetis!O5:O34)</x:f>
        <x:v>4</x:v>
      </x:c>
    </x:row>
    <x:row r="59" ht="38" customHeight="1">
      <x:c r="A59" s="73" t="str">
        <x:v>Interpretasi yang diperbolehkan</x:v>
      </x:c>
      <x:c r="B59" s="71" t="str">
        <x:v>Dataset ini hanya menunjukkan contoh cara menganalisis respons. Angka tidak boleh ditulis sebagai hasil penelitian, validasi pengguna, atau dampak aktual.</x:v>
      </x:c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</x:row>
    <x:row r="60" ht="38" customHeight="1">
      <x:c r="A60" s="73" t="str">
        <x:v>Langkah berikutnya</x:v>
      </x:c>
      <x:c r="B60" s="71" t="str">
        <x:v>Lakukan peer testing 3–5 mahasiswa, salin jawaban nyata ke sheet baru, dokumentasikan persetujuan, lalu bandingkan temuan tanpa mengganti data sintetis secara diam-diam.</x:v>
      </x:c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</x:row>
  </x:sheetData>
  <x:mergeCells>
    <x:mergeCell ref="A1:N1"/>
    <x:mergeCell ref="A2:N2"/>
    <x:mergeCell ref="A4:N4"/>
    <x:mergeCell ref="A6:B6"/>
    <x:mergeCell ref="A7:B8"/>
    <x:mergeCell ref="D6:E6"/>
    <x:mergeCell ref="D7:E8"/>
    <x:mergeCell ref="G6:H6"/>
    <x:mergeCell ref="G7:H8"/>
    <x:mergeCell ref="J6:K6"/>
    <x:mergeCell ref="J7:K8"/>
    <x:mergeCell ref="M6:N6"/>
    <x:mergeCell ref="M7:N8"/>
    <x:mergeCell ref="B59:N59"/>
    <x:mergeCell ref="B60:N60"/>
  </x:mergeCells>
  <x:pageMargins left="0.7" right="0.7" top="0.75" bottom="0.75" header="0.3" footer="0.3"/>
  <x:drawing xmlns:r="http://schemas.openxmlformats.org/officeDocument/2006/relationships" r:id="Rf2dc8779cb3841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7" hidden="0" customWidth="1"/>
    <x:col min="5" max="5" width="13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5" hidden="0" customWidth="1"/>
    <x:col min="17" max="17" width="18" hidden="0" customWidth="1"/>
    <x:col min="18" max="18" width="48" hidden="0" customWidth="1"/>
  </x:cols>
  <x:sheetData>
    <x:row r="1">
      <x:c r="A1" s="4" t="str">
        <x:v>Data Respons Pengguna — Sintetis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7" t="str">
        <x:v>Semua baris dibuat untuk simulasi visualisasi. Jangan diklaim sebagai partisipan atau hasil pengujian nyata.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66" t="str">
        <x:v>ID</x:v>
      </x:c>
      <x:c r="B4" s="66" t="str">
        <x:v>Status data</x:v>
      </x:c>
      <x:c r="C4" s="66" t="str">
        <x:v>Peran</x:v>
      </x:c>
      <x:c r="D4" s="66" t="str">
        <x:v>Kebutuhan akses</x:v>
      </x:c>
      <x:c r="E4" s="66" t="str">
        <x:v>Perangkat</x:v>
      </x:c>
      <x:c r="F4" s="66" t="str">
        <x:v>Skenario tugas</x:v>
      </x:c>
      <x:c r="G4" s="66" t="str">
        <x:v>Keberhasilan</x:v>
      </x:c>
      <x:c r="H4" s="66" t="str">
        <x:v>Waktu (menit)</x:v>
      </x:c>
      <x:c r="I4" s="66" t="str">
        <x:v>Kemudahan</x:v>
      </x:c>
      <x:c r="J4" s="66" t="str">
        <x:v>Kejelasan</x:v>
      </x:c>
      <x:c r="K4" s="66" t="str">
        <x:v>Aksesibilitas</x:v>
      </x:c>
      <x:c r="L4" s="66" t="str">
        <x:v>Kepercayaan AI</x:v>
      </x:c>
      <x:c r="M4" s="66" t="str">
        <x:v>Kendali manusia</x:v>
      </x:c>
      <x:c r="N4" s="66" t="str">
        <x:v>Kegunaan timeline</x:v>
      </x:c>
      <x:c r="O4" s="66" t="str">
        <x:v>Kegunaan chatbot</x:v>
      </x:c>
      <x:c r="P4" s="66" t="str">
        <x:v>Fitur pilihan</x:v>
      </x:c>
      <x:c r="Q4" s="66" t="str">
        <x:v>Minat menggunakan</x:v>
      </x:c>
      <x:c r="R4" s="66" t="str">
        <x:v>Feedback terbuka</x:v>
      </x:c>
    </x:row>
    <x:row r="5" ht="38" customHeight="1">
      <x:c r="A5" s="75" t="str">
        <x:v>SYN-01</x:v>
      </x:c>
      <x:c r="B5" s="77" t="str">
        <x:v>SINTETIS</x:v>
      </x:c>
      <x:c r="C5" s="75" t="str">
        <x:v>Mahasiswa</x:v>
      </x:c>
      <x:c r="D5" s="75" t="str">
        <x:v>Tidak ada kebutuhan spesifik</x:v>
      </x:c>
      <x:c r="E5" s="75" t="str">
        <x:v>Laptop</x:v>
      </x:c>
      <x:c r="F5" s="75" t="str">
        <x:v>Menemukan materi easy-read</x:v>
      </x:c>
      <x:c r="G5" s="75" t="str">
        <x:v>Perlu bantuan</x:v>
      </x:c>
      <x:c r="H5" s="78" t="n">
        <x:v>5.6</x:v>
      </x:c>
      <x:c r="I5" s="75" t="n">
        <x:v>4</x:v>
      </x:c>
      <x:c r="J5" s="75" t="n">
        <x:v>3</x:v>
      </x:c>
      <x:c r="K5" s="75" t="n">
        <x:v>3</x:v>
      </x:c>
      <x:c r="L5" s="75" t="n">
        <x:v>3</x:v>
      </x:c>
      <x:c r="M5" s="75" t="n">
        <x:v>4</x:v>
      </x:c>
      <x:c r="N5" s="75" t="n">
        <x:v>5</x:v>
      </x:c>
      <x:c r="O5" s="75" t="n">
        <x:v>5</x:v>
      </x:c>
      <x:c r="P5" s="75" t="str">
        <x:v>Safe Timeline Assistant</x:v>
      </x:c>
      <x:c r="Q5" s="75" t="str">
        <x:v>Mungkin</x:v>
      </x:c>
      <x:c r="R5" s="75" t="str">
        <x:v>Alur langkahnya jelas, tetapi penjelasan mode fallback perlu dibuat lebih singkat.</x:v>
      </x:c>
    </x:row>
    <x:row r="6" ht="38" customHeight="1">
      <x:c r="A6" s="75" t="str">
        <x:v>SYN-02</x:v>
      </x:c>
      <x:c r="B6" s="77" t="str">
        <x:v>SINTETIS</x:v>
      </x:c>
      <x:c r="C6" s="75" t="str">
        <x:v>Mahasiswa</x:v>
      </x:c>
      <x:c r="D6" s="75" t="str">
        <x:v>Penglihatan</x:v>
      </x:c>
      <x:c r="E6" s="75" t="str">
        <x:v>Laptop</x:v>
      </x:c>
      <x:c r="F6" s="75" t="str">
        <x:v>Membuat jurnal sintetis</x:v>
      </x:c>
      <x:c r="G6" s="75" t="str">
        <x:v>Berhasil</x:v>
      </x:c>
      <x:c r="H6" s="78" t="n">
        <x:v>4.5</x:v>
      </x:c>
      <x:c r="I6" s="75" t="n">
        <x:v>4</x:v>
      </x:c>
      <x:c r="J6" s="75" t="n">
        <x:v>5</x:v>
      </x:c>
      <x:c r="K6" s="75" t="n">
        <x:v>5</x:v>
      </x:c>
      <x:c r="L6" s="75" t="n">
        <x:v>4</x:v>
      </x:c>
      <x:c r="M6" s="75" t="n">
        <x:v>5</x:v>
      </x:c>
      <x:c r="N6" s="75" t="n">
        <x:v>4</x:v>
      </x:c>
      <x:c r="O6" s="75" t="n">
        <x:v>3</x:v>
      </x:c>
      <x:c r="P6" s="75" t="str">
        <x:v>Asisten Aman AI</x:v>
      </x:c>
      <x:c r="Q6" s="75" t="str">
        <x:v>Ya</x:v>
      </x:c>
      <x:c r="R6" s="75" t="str">
        <x:v>Tombol menerima dan menolak event mudah dipahami.</x:v>
      </x:c>
    </x:row>
    <x:row r="7" ht="38" customHeight="1">
      <x:c r="A7" s="75" t="str">
        <x:v>SYN-03</x:v>
      </x:c>
      <x:c r="B7" s="77" t="str">
        <x:v>SINTETIS</x:v>
      </x:c>
      <x:c r="C7" s="75" t="str">
        <x:v>Mahasiswa</x:v>
      </x:c>
      <x:c r="D7" s="75" t="str">
        <x:v>Pendengaran</x:v>
      </x:c>
      <x:c r="E7" s="75" t="str">
        <x:v>Ponsel</x:v>
      </x:c>
      <x:c r="F7" s="75" t="str">
        <x:v>Menyusun kronologi dengan AI</x:v>
      </x:c>
      <x:c r="G7" s="75" t="str">
        <x:v>Berhasil</x:v>
      </x:c>
      <x:c r="H7" s="78" t="n">
        <x:v>5.8</x:v>
      </x:c>
      <x:c r="I7" s="75" t="n">
        <x:v>5</x:v>
      </x:c>
      <x:c r="J7" s="75" t="n">
        <x:v>5</x:v>
      </x:c>
      <x:c r="K7" s="75" t="n">
        <x:v>5</x:v>
      </x:c>
      <x:c r="L7" s="75" t="n">
        <x:v>5</x:v>
      </x:c>
      <x:c r="M7" s="75" t="n">
        <x:v>4</x:v>
      </x:c>
      <x:c r="N7" s="75" t="n">
        <x:v>5</x:v>
      </x:c>
      <x:c r="O7" s="75" t="n">
        <x:v>4</x:v>
      </x:c>
      <x:c r="P7" s="75" t="str">
        <x:v>Safe Timeline Assistant</x:v>
      </x:c>
      <x:c r="Q7" s="75" t="str">
        <x:v>Ya</x:v>
      </x:c>
      <x:c r="R7" s="75" t="str">
        <x:v>Saya ingin indikator yang lebih jelas bahwa chatbot bukan konselor.</x:v>
      </x:c>
    </x:row>
    <x:row r="8" ht="38" customHeight="1">
      <x:c r="A8" s="75" t="str">
        <x:v>SYN-04</x:v>
      </x:c>
      <x:c r="B8" s="77" t="str">
        <x:v>SINTETIS</x:v>
      </x:c>
      <x:c r="C8" s="75" t="str">
        <x:v>Mahasiswa</x:v>
      </x:c>
      <x:c r="D8" s="75" t="str">
        <x:v>Motorik</x:v>
      </x:c>
      <x:c r="E8" s="75" t="str">
        <x:v>Ponsel</x:v>
      </x:c>
      <x:c r="F8" s="75" t="str">
        <x:v>Bertanya kepada Asisten Aman</x:v>
      </x:c>
      <x:c r="G8" s="75" t="str">
        <x:v>Berhasil</x:v>
      </x:c>
      <x:c r="H8" s="78" t="n">
        <x:v>7.1</x:v>
      </x:c>
      <x:c r="I8" s="75" t="n">
        <x:v>3</x:v>
      </x:c>
      <x:c r="J8" s="75" t="n">
        <x:v>4</x:v>
      </x:c>
      <x:c r="K8" s="75" t="n">
        <x:v>4</x:v>
      </x:c>
      <x:c r="L8" s="75" t="n">
        <x:v>3</x:v>
      </x:c>
      <x:c r="M8" s="75" t="n">
        <x:v>5</x:v>
      </x:c>
      <x:c r="N8" s="75" t="n">
        <x:v>4</x:v>
      </x:c>
      <x:c r="O8" s="75" t="n">
        <x:v>5</x:v>
      </x:c>
      <x:c r="P8" s="75" t="str">
        <x:v>Aksesibilitas</x:v>
      </x:c>
      <x:c r="Q8" s="75" t="str">
        <x:v>Ya</x:v>
      </x:c>
      <x:c r="R8" s="75" t="str">
        <x:v>Ukuran teks dan kontras membantu, namun beberapa kartu masih cukup padat.</x:v>
      </x:c>
    </x:row>
    <x:row r="9" ht="38" customHeight="1">
      <x:c r="A9" s="75" t="str">
        <x:v>SYN-05</x:v>
      </x:c>
      <x:c r="B9" s="77" t="str">
        <x:v>SINTETIS</x:v>
      </x:c>
      <x:c r="C9" s="75" t="str">
        <x:v>Pendamping sebaya</x:v>
      </x:c>
      <x:c r="D9" s="75" t="str">
        <x:v>Neurodivergent/kognitif</x:v>
      </x:c>
      <x:c r="E9" s="75" t="str">
        <x:v>Tablet</x:v>
      </x:c>
      <x:c r="F9" s="75" t="str">
        <x:v>Meninjau laporan dan consent</x:v>
      </x:c>
      <x:c r="G9" s="75" t="str">
        <x:v>Berhasil</x:v>
      </x:c>
      <x:c r="H9" s="78" t="n">
        <x:v>3.9</x:v>
      </x:c>
      <x:c r="I9" s="75" t="n">
        <x:v>5</x:v>
      </x:c>
      <x:c r="J9" s="75" t="n">
        <x:v>5</x:v>
      </x:c>
      <x:c r="K9" s="75" t="n">
        <x:v>5</x:v>
      </x:c>
      <x:c r="L9" s="75" t="n">
        <x:v>4</x:v>
      </x:c>
      <x:c r="M9" s="75" t="n">
        <x:v>4</x:v>
      </x:c>
      <x:c r="N9" s="75" t="n">
        <x:v>5</x:v>
      </x:c>
      <x:c r="O9" s="75" t="n">
        <x:v>3</x:v>
      </x:c>
      <x:c r="P9" s="75" t="str">
        <x:v>Asisten Aman AI</x:v>
      </x:c>
      <x:c r="Q9" s="75" t="str">
        <x:v>Ya</x:v>
      </x:c>
      <x:c r="R9" s="75" t="str">
        <x:v>Sumber catatan pada timeline membuat hasil AI terasa lebih dapat diperiksa.</x:v>
      </x:c>
    </x:row>
    <x:row r="10" ht="38" customHeight="1">
      <x:c r="A10" s="75" t="str">
        <x:v>SYN-06</x:v>
      </x:c>
      <x:c r="B10" s="77" t="str">
        <x:v>SINTETIS</x:v>
      </x:c>
      <x:c r="C10" s="75" t="str">
        <x:v>Mahasiswa</x:v>
      </x:c>
      <x:c r="D10" s="75" t="str">
        <x:v>Multi-disabilitas</x:v>
      </x:c>
      <x:c r="E10" s="75" t="str">
        <x:v>Laptop</x:v>
      </x:c>
      <x:c r="F10" s="75" t="str">
        <x:v>Mengaktifkan aksesibilitas</x:v>
      </x:c>
      <x:c r="G10" s="75" t="str">
        <x:v>Berhasil</x:v>
      </x:c>
      <x:c r="H10" s="78" t="n">
        <x:v>5.2</x:v>
      </x:c>
      <x:c r="I10" s="75" t="n">
        <x:v>5</x:v>
      </x:c>
      <x:c r="J10" s="75" t="n">
        <x:v>5</x:v>
      </x:c>
      <x:c r="K10" s="75" t="n">
        <x:v>5</x:v>
      </x:c>
      <x:c r="L10" s="75" t="n">
        <x:v>5</x:v>
      </x:c>
      <x:c r="M10" s="75" t="n">
        <x:v>5</x:v>
      </x:c>
      <x:c r="N10" s="75" t="n">
        <x:v>4</x:v>
      </x:c>
      <x:c r="O10" s="75" t="n">
        <x:v>4</x:v>
      </x:c>
      <x:c r="P10" s="75" t="str">
        <x:v>Jurnal Aman</x:v>
      </x:c>
      <x:c r="Q10" s="75" t="str">
        <x:v>Ya</x:v>
      </x:c>
      <x:c r="R10" s="75" t="str">
        <x:v>Keluar cepat mudah ditemukan dan terasa penting.</x:v>
      </x:c>
    </x:row>
    <x:row r="11" ht="38" customHeight="1">
      <x:c r="A11" s="75" t="str">
        <x:v>SYN-07</x:v>
      </x:c>
      <x:c r="B11" s="77" t="str">
        <x:v>SINTETIS</x:v>
      </x:c>
      <x:c r="C11" s="75" t="str">
        <x:v>Mahasiswa</x:v>
      </x:c>
      <x:c r="D11" s="75" t="str">
        <x:v>Tidak ada kebutuhan spesifik</x:v>
      </x:c>
      <x:c r="E11" s="75" t="str">
        <x:v>Laptop</x:v>
      </x:c>
      <x:c r="F11" s="75" t="str">
        <x:v>Menemukan materi easy-read</x:v>
      </x:c>
      <x:c r="G11" s="75" t="str">
        <x:v>Berhasil</x:v>
      </x:c>
      <x:c r="H11" s="78" t="n">
        <x:v>6.5</x:v>
      </x:c>
      <x:c r="I11" s="75" t="n">
        <x:v>3</x:v>
      </x:c>
      <x:c r="J11" s="75" t="n">
        <x:v>4</x:v>
      </x:c>
      <x:c r="K11" s="75" t="n">
        <x:v>3</x:v>
      </x:c>
      <x:c r="L11" s="75" t="n">
        <x:v>3</x:v>
      </x:c>
      <x:c r="M11" s="75" t="n">
        <x:v>4</x:v>
      </x:c>
      <x:c r="N11" s="75" t="n">
        <x:v>5</x:v>
      </x:c>
      <x:c r="O11" s="75" t="n">
        <x:v>5</x:v>
      </x:c>
      <x:c r="P11" s="75" t="str">
        <x:v>Safe Timeline Assistant</x:v>
      </x:c>
      <x:c r="Q11" s="75" t="str">
        <x:v>Ya</x:v>
      </x:c>
      <x:c r="R11" s="75" t="str">
        <x:v>Istilah consent sebaiknya selalu disertai padanan bahasa Indonesia.</x:v>
      </x:c>
    </x:row>
    <x:row r="12" ht="38" customHeight="1">
      <x:c r="A12" s="75" t="str">
        <x:v>SYN-08</x:v>
      </x:c>
      <x:c r="B12" s="77" t="str">
        <x:v>SINTETIS</x:v>
      </x:c>
      <x:c r="C12" s="75" t="str">
        <x:v>Mahasiswa</x:v>
      </x:c>
      <x:c r="D12" s="75" t="str">
        <x:v>Penglihatan</x:v>
      </x:c>
      <x:c r="E12" s="75" t="str">
        <x:v>Ponsel</x:v>
      </x:c>
      <x:c r="F12" s="75" t="str">
        <x:v>Membuat jurnal sintetis</x:v>
      </x:c>
      <x:c r="G12" s="75" t="str">
        <x:v>Berhasil</x:v>
      </x:c>
      <x:c r="H12" s="78" t="n">
        <x:v>3.3</x:v>
      </x:c>
      <x:c r="I12" s="75" t="n">
        <x:v>4</x:v>
      </x:c>
      <x:c r="J12" s="75" t="n">
        <x:v>5</x:v>
      </x:c>
      <x:c r="K12" s="75" t="n">
        <x:v>5</x:v>
      </x:c>
      <x:c r="L12" s="75" t="n">
        <x:v>4</x:v>
      </x:c>
      <x:c r="M12" s="75" t="n">
        <x:v>5</x:v>
      </x:c>
      <x:c r="N12" s="75" t="n">
        <x:v>4</x:v>
      </x:c>
      <x:c r="O12" s="75" t="n">
        <x:v>3</x:v>
      </x:c>
      <x:c r="P12" s="75" t="str">
        <x:v>Keluar Cepat</x:v>
      </x:c>
      <x:c r="Q12" s="75" t="str">
        <x:v>Ya</x:v>
      </x:c>
      <x:c r="R12" s="75" t="str">
        <x:v>Asisten Aman membantu menemukan menu tanpa harus menghafal navigasi.</x:v>
      </x:c>
    </x:row>
    <x:row r="13" ht="38" customHeight="1">
      <x:c r="A13" s="75" t="str">
        <x:v>SYN-09</x:v>
      </x:c>
      <x:c r="B13" s="77" t="str">
        <x:v>SINTETIS</x:v>
      </x:c>
      <x:c r="C13" s="75" t="str">
        <x:v>Mahasiswa</x:v>
      </x:c>
      <x:c r="D13" s="75" t="str">
        <x:v>Pendengaran</x:v>
      </x:c>
      <x:c r="E13" s="75" t="str">
        <x:v>Ponsel</x:v>
      </x:c>
      <x:c r="F13" s="75" t="str">
        <x:v>Menyusun kronologi dengan AI</x:v>
      </x:c>
      <x:c r="G13" s="75" t="str">
        <x:v>Berhasil</x:v>
      </x:c>
      <x:c r="H13" s="78" t="n">
        <x:v>4.6</x:v>
      </x:c>
      <x:c r="I13" s="75" t="n">
        <x:v>5</x:v>
      </x:c>
      <x:c r="J13" s="75" t="n">
        <x:v>5</x:v>
      </x:c>
      <x:c r="K13" s="75" t="n">
        <x:v>5</x:v>
      </x:c>
      <x:c r="L13" s="75" t="n">
        <x:v>5</x:v>
      </x:c>
      <x:c r="M13" s="75" t="n">
        <x:v>4</x:v>
      </x:c>
      <x:c r="N13" s="75" t="n">
        <x:v>5</x:v>
      </x:c>
      <x:c r="O13" s="75" t="n">
        <x:v>4</x:v>
      </x:c>
      <x:c r="P13" s="75" t="str">
        <x:v>Asisten Aman AI</x:v>
      </x:c>
      <x:c r="Q13" s="75" t="str">
        <x:v>Ya</x:v>
      </x:c>
      <x:c r="R13" s="75" t="str">
        <x:v>Saya sempat ragu apakah laporan benar-benar terkirim; label simulasi perlu lebih menonjol.</x:v>
      </x:c>
    </x:row>
    <x:row r="14" ht="38" customHeight="1">
      <x:c r="A14" s="75" t="str">
        <x:v>SYN-10</x:v>
      </x:c>
      <x:c r="B14" s="77" t="str">
        <x:v>SINTETIS</x:v>
      </x:c>
      <x:c r="C14" s="75" t="str">
        <x:v>Pendamping sebaya</x:v>
      </x:c>
      <x:c r="D14" s="75" t="str">
        <x:v>Motorik</x:v>
      </x:c>
      <x:c r="E14" s="75" t="str">
        <x:v>Tablet</x:v>
      </x:c>
      <x:c r="F14" s="75" t="str">
        <x:v>Bertanya kepada Asisten Aman</x:v>
      </x:c>
      <x:c r="G14" s="75" t="str">
        <x:v>Berhasil</x:v>
      </x:c>
      <x:c r="H14" s="78" t="n">
        <x:v>5.9</x:v>
      </x:c>
      <x:c r="I14" s="75" t="n">
        <x:v>3</x:v>
      </x:c>
      <x:c r="J14" s="75" t="n">
        <x:v>4</x:v>
      </x:c>
      <x:c r="K14" s="75" t="n">
        <x:v>4</x:v>
      </x:c>
      <x:c r="L14" s="75" t="n">
        <x:v>3</x:v>
      </x:c>
      <x:c r="M14" s="75" t="n">
        <x:v>5</x:v>
      </x:c>
      <x:c r="N14" s="75" t="n">
        <x:v>4</x:v>
      </x:c>
      <x:c r="O14" s="75" t="n">
        <x:v>5</x:v>
      </x:c>
      <x:c r="P14" s="75" t="str">
        <x:v>Persetujuan berbagi</x:v>
      </x:c>
      <x:c r="Q14" s="75" t="str">
        <x:v>Mungkin</x:v>
      </x:c>
      <x:c r="R14" s="75" t="str">
        <x:v>Pilihan pendamping dan ruang lingkup izin merupakan bagian yang paling meyakinkan.</x:v>
      </x:c>
    </x:row>
    <x:row r="15" ht="38" customHeight="1">
      <x:c r="A15" s="75" t="str">
        <x:v>SYN-11</x:v>
      </x:c>
      <x:c r="B15" s="77" t="str">
        <x:v>SINTETIS</x:v>
      </x:c>
      <x:c r="C15" s="75" t="str">
        <x:v>Mahasiswa</x:v>
      </x:c>
      <x:c r="D15" s="75" t="str">
        <x:v>Neurodivergent/kognitif</x:v>
      </x:c>
      <x:c r="E15" s="75" t="str">
        <x:v>Laptop</x:v>
      </x:c>
      <x:c r="F15" s="75" t="str">
        <x:v>Meninjau laporan dan consent</x:v>
      </x:c>
      <x:c r="G15" s="75" t="str">
        <x:v>Berhasil</x:v>
      </x:c>
      <x:c r="H15" s="78" t="n">
        <x:v>7.2</x:v>
      </x:c>
      <x:c r="I15" s="75" t="n">
        <x:v>4</x:v>
      </x:c>
      <x:c r="J15" s="75" t="n">
        <x:v>4</x:v>
      </x:c>
      <x:c r="K15" s="75" t="n">
        <x:v>5</x:v>
      </x:c>
      <x:c r="L15" s="75" t="n">
        <x:v>4</x:v>
      </x:c>
      <x:c r="M15" s="75" t="n">
        <x:v>4</x:v>
      </x:c>
      <x:c r="N15" s="75" t="n">
        <x:v>5</x:v>
      </x:c>
      <x:c r="O15" s="75" t="n">
        <x:v>3</x:v>
      </x:c>
      <x:c r="P15" s="75" t="str">
        <x:v>Safe Timeline Assistant</x:v>
      </x:c>
      <x:c r="Q15" s="75" t="str">
        <x:v>Ya</x:v>
      </x:c>
      <x:c r="R15" s="75" t="str">
        <x:v>Alur langkahnya jelas, tetapi penjelasan mode fallback perlu dibuat lebih singkat.</x:v>
      </x:c>
    </x:row>
    <x:row r="16" ht="38" customHeight="1">
      <x:c r="A16" s="75" t="str">
        <x:v>SYN-12</x:v>
      </x:c>
      <x:c r="B16" s="77" t="str">
        <x:v>SINTETIS</x:v>
      </x:c>
      <x:c r="C16" s="75" t="str">
        <x:v>Mahasiswa</x:v>
      </x:c>
      <x:c r="D16" s="75" t="str">
        <x:v>Multi-disabilitas</x:v>
      </x:c>
      <x:c r="E16" s="75" t="str">
        <x:v>Laptop</x:v>
      </x:c>
      <x:c r="F16" s="75" t="str">
        <x:v>Mengaktifkan aksesibilitas</x:v>
      </x:c>
      <x:c r="G16" s="75" t="str">
        <x:v>Perlu bantuan</x:v>
      </x:c>
      <x:c r="H16" s="78" t="n">
        <x:v>6.4</x:v>
      </x:c>
      <x:c r="I16" s="75" t="n">
        <x:v>5</x:v>
      </x:c>
      <x:c r="J16" s="75" t="n">
        <x:v>5</x:v>
      </x:c>
      <x:c r="K16" s="75" t="n">
        <x:v>5</x:v>
      </x:c>
      <x:c r="L16" s="75" t="n">
        <x:v>5</x:v>
      </x:c>
      <x:c r="M16" s="75" t="n">
        <x:v>5</x:v>
      </x:c>
      <x:c r="N16" s="75" t="n">
        <x:v>4</x:v>
      </x:c>
      <x:c r="O16" s="75" t="n">
        <x:v>4</x:v>
      </x:c>
      <x:c r="P16" s="75" t="str">
        <x:v>Aksesibilitas</x:v>
      </x:c>
      <x:c r="Q16" s="75" t="str">
        <x:v>Ya</x:v>
      </x:c>
      <x:c r="R16" s="75" t="str">
        <x:v>Tombol menerima dan menolak event mudah dipahami.</x:v>
      </x:c>
    </x:row>
    <x:row r="17" ht="38" customHeight="1">
      <x:c r="A17" s="75" t="str">
        <x:v>SYN-13</x:v>
      </x:c>
      <x:c r="B17" s="77" t="str">
        <x:v>SINTETIS</x:v>
      </x:c>
      <x:c r="C17" s="75" t="str">
        <x:v>Mahasiswa</x:v>
      </x:c>
      <x:c r="D17" s="75" t="str">
        <x:v>Tidak ada kebutuhan spesifik</x:v>
      </x:c>
      <x:c r="E17" s="75" t="str">
        <x:v>Ponsel</x:v>
      </x:c>
      <x:c r="F17" s="75" t="str">
        <x:v>Menemukan materi easy-read</x:v>
      </x:c>
      <x:c r="G17" s="75" t="str">
        <x:v>Berhasil</x:v>
      </x:c>
      <x:c r="H17" s="78" t="n">
        <x:v>5.3</x:v>
      </x:c>
      <x:c r="I17" s="75" t="n">
        <x:v>4</x:v>
      </x:c>
      <x:c r="J17" s="75" t="n">
        <x:v>4</x:v>
      </x:c>
      <x:c r="K17" s="75" t="n">
        <x:v>3</x:v>
      </x:c>
      <x:c r="L17" s="75" t="n">
        <x:v>3</x:v>
      </x:c>
      <x:c r="M17" s="75" t="n">
        <x:v>4</x:v>
      </x:c>
      <x:c r="N17" s="75" t="n">
        <x:v>5</x:v>
      </x:c>
      <x:c r="O17" s="75" t="n">
        <x:v>5</x:v>
      </x:c>
      <x:c r="P17" s="75" t="str">
        <x:v>Asisten Aman AI</x:v>
      </x:c>
      <x:c r="Q17" s="75" t="str">
        <x:v>Ya</x:v>
      </x:c>
      <x:c r="R17" s="75" t="str">
        <x:v>Saya ingin indikator yang lebih jelas bahwa chatbot bukan konselor.</x:v>
      </x:c>
    </x:row>
    <x:row r="18" ht="38" customHeight="1">
      <x:c r="A18" s="75" t="str">
        <x:v>SYN-14</x:v>
      </x:c>
      <x:c r="B18" s="77" t="str">
        <x:v>SINTETIS</x:v>
      </x:c>
      <x:c r="C18" s="75" t="str">
        <x:v>Mahasiswa</x:v>
      </x:c>
      <x:c r="D18" s="75" t="str">
        <x:v>Penglihatan</x:v>
      </x:c>
      <x:c r="E18" s="75" t="str">
        <x:v>Ponsel</x:v>
      </x:c>
      <x:c r="F18" s="75" t="str">
        <x:v>Membuat jurnal sintetis</x:v>
      </x:c>
      <x:c r="G18" s="75" t="str">
        <x:v>Berhasil</x:v>
      </x:c>
      <x:c r="H18" s="78" t="n">
        <x:v>6.6</x:v>
      </x:c>
      <x:c r="I18" s="75" t="n">
        <x:v>4</x:v>
      </x:c>
      <x:c r="J18" s="75" t="n">
        <x:v>5</x:v>
      </x:c>
      <x:c r="K18" s="75" t="n">
        <x:v>5</x:v>
      </x:c>
      <x:c r="L18" s="75" t="n">
        <x:v>4</x:v>
      </x:c>
      <x:c r="M18" s="75" t="n">
        <x:v>5</x:v>
      </x:c>
      <x:c r="N18" s="75" t="n">
        <x:v>4</x:v>
      </x:c>
      <x:c r="O18" s="75" t="n">
        <x:v>3</x:v>
      </x:c>
      <x:c r="P18" s="75" t="str">
        <x:v>Jurnal Aman</x:v>
      </x:c>
      <x:c r="Q18" s="75" t="str">
        <x:v>Ya</x:v>
      </x:c>
      <x:c r="R18" s="75" t="str">
        <x:v>Ukuran teks dan kontras membantu, namun beberapa kartu masih cukup padat.</x:v>
      </x:c>
    </x:row>
    <x:row r="19" ht="38" customHeight="1">
      <x:c r="A19" s="75" t="str">
        <x:v>SYN-15</x:v>
      </x:c>
      <x:c r="B19" s="77" t="str">
        <x:v>SINTETIS</x:v>
      </x:c>
      <x:c r="C19" s="75" t="str">
        <x:v>Pendamping sebaya</x:v>
      </x:c>
      <x:c r="D19" s="75" t="str">
        <x:v>Pendengaran</x:v>
      </x:c>
      <x:c r="E19" s="75" t="str">
        <x:v>Tablet</x:v>
      </x:c>
      <x:c r="F19" s="75" t="str">
        <x:v>Menyusun kronologi dengan AI</x:v>
      </x:c>
      <x:c r="G19" s="75" t="str">
        <x:v>Berhasil</x:v>
      </x:c>
      <x:c r="H19" s="78" t="n">
        <x:v>3.4</x:v>
      </x:c>
      <x:c r="I19" s="75" t="n">
        <x:v>5</x:v>
      </x:c>
      <x:c r="J19" s="75" t="n">
        <x:v>5</x:v>
      </x:c>
      <x:c r="K19" s="75" t="n">
        <x:v>5</x:v>
      </x:c>
      <x:c r="L19" s="75" t="n">
        <x:v>5</x:v>
      </x:c>
      <x:c r="M19" s="75" t="n">
        <x:v>4</x:v>
      </x:c>
      <x:c r="N19" s="75" t="n">
        <x:v>5</x:v>
      </x:c>
      <x:c r="O19" s="75" t="n">
        <x:v>4</x:v>
      </x:c>
      <x:c r="P19" s="75" t="str">
        <x:v>Safe Timeline Assistant</x:v>
      </x:c>
      <x:c r="Q19" s="75" t="str">
        <x:v>Ya</x:v>
      </x:c>
      <x:c r="R19" s="75" t="str">
        <x:v>Sumber catatan pada timeline membuat hasil AI terasa lebih dapat diperiksa.</x:v>
      </x:c>
    </x:row>
    <x:row r="20" ht="38" customHeight="1">
      <x:c r="A20" s="75" t="str">
        <x:v>SYN-16</x:v>
      </x:c>
      <x:c r="B20" s="77" t="str">
        <x:v>SINTETIS</x:v>
      </x:c>
      <x:c r="C20" s="75" t="str">
        <x:v>Mahasiswa</x:v>
      </x:c>
      <x:c r="D20" s="75" t="str">
        <x:v>Motorik</x:v>
      </x:c>
      <x:c r="E20" s="75" t="str">
        <x:v>Laptop</x:v>
      </x:c>
      <x:c r="F20" s="75" t="str">
        <x:v>Bertanya kepada Asisten Aman</x:v>
      </x:c>
      <x:c r="G20" s="75" t="str">
        <x:v>Berhasil</x:v>
      </x:c>
      <x:c r="H20" s="78" t="n">
        <x:v>4.7</x:v>
      </x:c>
      <x:c r="I20" s="75" t="n">
        <x:v>3</x:v>
      </x:c>
      <x:c r="J20" s="75" t="n">
        <x:v>3</x:v>
      </x:c>
      <x:c r="K20" s="75" t="n">
        <x:v>4</x:v>
      </x:c>
      <x:c r="L20" s="75" t="n">
        <x:v>3</x:v>
      </x:c>
      <x:c r="M20" s="75" t="n">
        <x:v>5</x:v>
      </x:c>
      <x:c r="N20" s="75" t="n">
        <x:v>4</x:v>
      </x:c>
      <x:c r="O20" s="75" t="n">
        <x:v>5</x:v>
      </x:c>
      <x:c r="P20" s="75" t="str">
        <x:v>Keluar Cepat</x:v>
      </x:c>
      <x:c r="Q20" s="75" t="str">
        <x:v>Ya</x:v>
      </x:c>
      <x:c r="R20" s="75" t="str">
        <x:v>Keluar cepat mudah ditemukan dan terasa penting.</x:v>
      </x:c>
    </x:row>
    <x:row r="21" ht="38" customHeight="1">
      <x:c r="A21" s="75" t="str">
        <x:v>SYN-17</x:v>
      </x:c>
      <x:c r="B21" s="77" t="str">
        <x:v>SINTETIS</x:v>
      </x:c>
      <x:c r="C21" s="75" t="str">
        <x:v>Mahasiswa</x:v>
      </x:c>
      <x:c r="D21" s="75" t="str">
        <x:v>Neurodivergent/kognitif</x:v>
      </x:c>
      <x:c r="E21" s="75" t="str">
        <x:v>Laptop</x:v>
      </x:c>
      <x:c r="F21" s="75" t="str">
        <x:v>Meninjau laporan dan consent</x:v>
      </x:c>
      <x:c r="G21" s="75" t="str">
        <x:v>Berhasil</x:v>
      </x:c>
      <x:c r="H21" s="78" t="n">
        <x:v>6</x:v>
      </x:c>
      <x:c r="I21" s="75" t="n">
        <x:v>5</x:v>
      </x:c>
      <x:c r="J21" s="75" t="n">
        <x:v>5</x:v>
      </x:c>
      <x:c r="K21" s="75" t="n">
        <x:v>5</x:v>
      </x:c>
      <x:c r="L21" s="75" t="n">
        <x:v>4</x:v>
      </x:c>
      <x:c r="M21" s="75" t="n">
        <x:v>4</x:v>
      </x:c>
      <x:c r="N21" s="75" t="n">
        <x:v>5</x:v>
      </x:c>
      <x:c r="O21" s="75" t="n">
        <x:v>3</x:v>
      </x:c>
      <x:c r="P21" s="75" t="str">
        <x:v>Asisten Aman AI</x:v>
      </x:c>
      <x:c r="Q21" s="75" t="str">
        <x:v>Ya</x:v>
      </x:c>
      <x:c r="R21" s="75" t="str">
        <x:v>Istilah consent sebaiknya selalu disertai padanan bahasa Indonesia.</x:v>
      </x:c>
    </x:row>
    <x:row r="22" ht="38" customHeight="1">
      <x:c r="A22" s="75" t="str">
        <x:v>SYN-18</x:v>
      </x:c>
      <x:c r="B22" s="77" t="str">
        <x:v>SINTETIS</x:v>
      </x:c>
      <x:c r="C22" s="75" t="str">
        <x:v>Mahasiswa</x:v>
      </x:c>
      <x:c r="D22" s="75" t="str">
        <x:v>Multi-disabilitas</x:v>
      </x:c>
      <x:c r="E22" s="75" t="str">
        <x:v>Ponsel</x:v>
      </x:c>
      <x:c r="F22" s="75" t="str">
        <x:v>Mengaktifkan aksesibilitas</x:v>
      </x:c>
      <x:c r="G22" s="75" t="str">
        <x:v>Berhasil</x:v>
      </x:c>
      <x:c r="H22" s="78" t="n">
        <x:v>7.3</x:v>
      </x:c>
      <x:c r="I22" s="75" t="n">
        <x:v>5</x:v>
      </x:c>
      <x:c r="J22" s="75" t="n">
        <x:v>5</x:v>
      </x:c>
      <x:c r="K22" s="75" t="n">
        <x:v>5</x:v>
      </x:c>
      <x:c r="L22" s="75" t="n">
        <x:v>5</x:v>
      </x:c>
      <x:c r="M22" s="75" t="n">
        <x:v>5</x:v>
      </x:c>
      <x:c r="N22" s="75" t="n">
        <x:v>4</x:v>
      </x:c>
      <x:c r="O22" s="75" t="n">
        <x:v>4</x:v>
      </x:c>
      <x:c r="P22" s="75" t="str">
        <x:v>Persetujuan berbagi</x:v>
      </x:c>
      <x:c r="Q22" s="75" t="str">
        <x:v>Ya</x:v>
      </x:c>
      <x:c r="R22" s="75" t="str">
        <x:v>Asisten Aman membantu menemukan menu tanpa harus menghafal navigasi.</x:v>
      </x:c>
    </x:row>
    <x:row r="23" ht="38" customHeight="1">
      <x:c r="A23" s="75" t="str">
        <x:v>SYN-19</x:v>
      </x:c>
      <x:c r="B23" s="77" t="str">
        <x:v>SINTETIS</x:v>
      </x:c>
      <x:c r="C23" s="75" t="str">
        <x:v>Mahasiswa</x:v>
      </x:c>
      <x:c r="D23" s="75" t="str">
        <x:v>Tidak ada kebutuhan spesifik</x:v>
      </x:c>
      <x:c r="E23" s="75" t="str">
        <x:v>Ponsel</x:v>
      </x:c>
      <x:c r="F23" s="75" t="str">
        <x:v>Menemukan materi easy-read</x:v>
      </x:c>
      <x:c r="G23" s="75" t="str">
        <x:v>Berhasil</x:v>
      </x:c>
      <x:c r="H23" s="78" t="n">
        <x:v>4.1</x:v>
      </x:c>
      <x:c r="I23" s="75" t="n">
        <x:v>3</x:v>
      </x:c>
      <x:c r="J23" s="75" t="n">
        <x:v>4</x:v>
      </x:c>
      <x:c r="K23" s="75" t="n">
        <x:v>3</x:v>
      </x:c>
      <x:c r="L23" s="75" t="n">
        <x:v>3</x:v>
      </x:c>
      <x:c r="M23" s="75" t="n">
        <x:v>4</x:v>
      </x:c>
      <x:c r="N23" s="75" t="n">
        <x:v>5</x:v>
      </x:c>
      <x:c r="O23" s="75" t="n">
        <x:v>5</x:v>
      </x:c>
      <x:c r="P23" s="75" t="str">
        <x:v>Safe Timeline Assistant</x:v>
      </x:c>
      <x:c r="Q23" s="75" t="str">
        <x:v>Mungkin</x:v>
      </x:c>
      <x:c r="R23" s="75" t="str">
        <x:v>Saya sempat ragu apakah laporan benar-benar terkirim; label simulasi perlu lebih menonjol.</x:v>
      </x:c>
    </x:row>
    <x:row r="24" ht="38" customHeight="1">
      <x:c r="A24" s="75" t="str">
        <x:v>SYN-20</x:v>
      </x:c>
      <x:c r="B24" s="77" t="str">
        <x:v>SINTETIS</x:v>
      </x:c>
      <x:c r="C24" s="75" t="str">
        <x:v>Pendamping sebaya</x:v>
      </x:c>
      <x:c r="D24" s="75" t="str">
        <x:v>Penglihatan</x:v>
      </x:c>
      <x:c r="E24" s="75" t="str">
        <x:v>Tablet</x:v>
      </x:c>
      <x:c r="F24" s="75" t="str">
        <x:v>Membuat jurnal sintetis</x:v>
      </x:c>
      <x:c r="G24" s="75" t="str">
        <x:v>Berhasil</x:v>
      </x:c>
      <x:c r="H24" s="78" t="n">
        <x:v>5.4</x:v>
      </x:c>
      <x:c r="I24" s="75" t="n">
        <x:v>4</x:v>
      </x:c>
      <x:c r="J24" s="75" t="n">
        <x:v>5</x:v>
      </x:c>
      <x:c r="K24" s="75" t="n">
        <x:v>5</x:v>
      </x:c>
      <x:c r="L24" s="75" t="n">
        <x:v>4</x:v>
      </x:c>
      <x:c r="M24" s="75" t="n">
        <x:v>5</x:v>
      </x:c>
      <x:c r="N24" s="75" t="n">
        <x:v>4</x:v>
      </x:c>
      <x:c r="O24" s="75" t="n">
        <x:v>3</x:v>
      </x:c>
      <x:c r="P24" s="75" t="str">
        <x:v>Aksesibilitas</x:v>
      </x:c>
      <x:c r="Q24" s="75" t="str">
        <x:v>Ya</x:v>
      </x:c>
      <x:c r="R24" s="75" t="str">
        <x:v>Pilihan pendamping dan ruang lingkup izin merupakan bagian yang paling meyakinkan.</x:v>
      </x:c>
    </x:row>
    <x:row r="25" ht="38" customHeight="1">
      <x:c r="A25" s="75" t="str">
        <x:v>SYN-21</x:v>
      </x:c>
      <x:c r="B25" s="77" t="str">
        <x:v>SINTETIS</x:v>
      </x:c>
      <x:c r="C25" s="75" t="str">
        <x:v>Mahasiswa</x:v>
      </x:c>
      <x:c r="D25" s="75" t="str">
        <x:v>Pendengaran</x:v>
      </x:c>
      <x:c r="E25" s="75" t="str">
        <x:v>Laptop</x:v>
      </x:c>
      <x:c r="F25" s="75" t="str">
        <x:v>Menyusun kronologi dengan AI</x:v>
      </x:c>
      <x:c r="G25" s="75" t="str">
        <x:v>Berhasil</x:v>
      </x:c>
      <x:c r="H25" s="78" t="n">
        <x:v>6.7</x:v>
      </x:c>
      <x:c r="I25" s="75" t="n">
        <x:v>5</x:v>
      </x:c>
      <x:c r="J25" s="75" t="n">
        <x:v>5</x:v>
      </x:c>
      <x:c r="K25" s="75" t="n">
        <x:v>5</x:v>
      </x:c>
      <x:c r="L25" s="75" t="n">
        <x:v>5</x:v>
      </x:c>
      <x:c r="M25" s="75" t="n">
        <x:v>4</x:v>
      </x:c>
      <x:c r="N25" s="75" t="n">
        <x:v>5</x:v>
      </x:c>
      <x:c r="O25" s="75" t="n">
        <x:v>4</x:v>
      </x:c>
      <x:c r="P25" s="75" t="str">
        <x:v>Asisten Aman AI</x:v>
      </x:c>
      <x:c r="Q25" s="75" t="str">
        <x:v>Ya</x:v>
      </x:c>
      <x:c r="R25" s="75" t="str">
        <x:v>Alur langkahnya jelas, tetapi penjelasan mode fallback perlu dibuat lebih singkat.</x:v>
      </x:c>
    </x:row>
    <x:row r="26" ht="38" customHeight="1">
      <x:c r="A26" s="75" t="str">
        <x:v>SYN-22</x:v>
      </x:c>
      <x:c r="B26" s="77" t="str">
        <x:v>SINTETIS</x:v>
      </x:c>
      <x:c r="C26" s="75" t="str">
        <x:v>Mahasiswa</x:v>
      </x:c>
      <x:c r="D26" s="75" t="str">
        <x:v>Motorik</x:v>
      </x:c>
      <x:c r="E26" s="75" t="str">
        <x:v>Laptop</x:v>
      </x:c>
      <x:c r="F26" s="75" t="str">
        <x:v>Bertanya kepada Asisten Aman</x:v>
      </x:c>
      <x:c r="G26" s="75" t="str">
        <x:v>Berhasil</x:v>
      </x:c>
      <x:c r="H26" s="78" t="n">
        <x:v>3.5</x:v>
      </x:c>
      <x:c r="I26" s="75" t="n">
        <x:v>3</x:v>
      </x:c>
      <x:c r="J26" s="75" t="n">
        <x:v>4</x:v>
      </x:c>
      <x:c r="K26" s="75" t="n">
        <x:v>4</x:v>
      </x:c>
      <x:c r="L26" s="75" t="n">
        <x:v>3</x:v>
      </x:c>
      <x:c r="M26" s="75" t="n">
        <x:v>5</x:v>
      </x:c>
      <x:c r="N26" s="75" t="n">
        <x:v>4</x:v>
      </x:c>
      <x:c r="O26" s="75" t="n">
        <x:v>5</x:v>
      </x:c>
      <x:c r="P26" s="75" t="str">
        <x:v>Jurnal Aman</x:v>
      </x:c>
      <x:c r="Q26" s="75" t="str">
        <x:v>Ya</x:v>
      </x:c>
      <x:c r="R26" s="75" t="str">
        <x:v>Tombol menerima dan menolak event mudah dipahami.</x:v>
      </x:c>
    </x:row>
    <x:row r="27" ht="38" customHeight="1">
      <x:c r="A27" s="75" t="str">
        <x:v>SYN-23</x:v>
      </x:c>
      <x:c r="B27" s="77" t="str">
        <x:v>SINTETIS</x:v>
      </x:c>
      <x:c r="C27" s="75" t="str">
        <x:v>Mahasiswa</x:v>
      </x:c>
      <x:c r="D27" s="75" t="str">
        <x:v>Neurodivergent/kognitif</x:v>
      </x:c>
      <x:c r="E27" s="75" t="str">
        <x:v>Ponsel</x:v>
      </x:c>
      <x:c r="F27" s="75" t="str">
        <x:v>Meninjau laporan dan consent</x:v>
      </x:c>
      <x:c r="G27" s="75" t="str">
        <x:v>Perlu bantuan</x:v>
      </x:c>
      <x:c r="H27" s="78" t="n">
        <x:v>7.2</x:v>
      </x:c>
      <x:c r="I27" s="75" t="n">
        <x:v>4</x:v>
      </x:c>
      <x:c r="J27" s="75" t="n">
        <x:v>5</x:v>
      </x:c>
      <x:c r="K27" s="75" t="n">
        <x:v>5</x:v>
      </x:c>
      <x:c r="L27" s="75" t="n">
        <x:v>4</x:v>
      </x:c>
      <x:c r="M27" s="75" t="n">
        <x:v>4</x:v>
      </x:c>
      <x:c r="N27" s="75" t="n">
        <x:v>5</x:v>
      </x:c>
      <x:c r="O27" s="75" t="n">
        <x:v>3</x:v>
      </x:c>
      <x:c r="P27" s="75" t="str">
        <x:v>Safe Timeline Assistant</x:v>
      </x:c>
      <x:c r="Q27" s="75" t="str">
        <x:v>Ya</x:v>
      </x:c>
      <x:c r="R27" s="75" t="str">
        <x:v>Saya ingin indikator yang lebih jelas bahwa chatbot bukan konselor.</x:v>
      </x:c>
    </x:row>
    <x:row r="28" ht="38" customHeight="1">
      <x:c r="A28" s="75" t="str">
        <x:v>SYN-24</x:v>
      </x:c>
      <x:c r="B28" s="77" t="str">
        <x:v>SINTETIS</x:v>
      </x:c>
      <x:c r="C28" s="75" t="str">
        <x:v>Mahasiswa</x:v>
      </x:c>
      <x:c r="D28" s="75" t="str">
        <x:v>Multi-disabilitas</x:v>
      </x:c>
      <x:c r="E28" s="75" t="str">
        <x:v>Ponsel</x:v>
      </x:c>
      <x:c r="F28" s="75" t="str">
        <x:v>Mengaktifkan aksesibilitas</x:v>
      </x:c>
      <x:c r="G28" s="75" t="str">
        <x:v>Berhasil</x:v>
      </x:c>
      <x:c r="H28" s="78" t="n">
        <x:v>6.1</x:v>
      </x:c>
      <x:c r="I28" s="75" t="n">
        <x:v>5</x:v>
      </x:c>
      <x:c r="J28" s="75" t="n">
        <x:v>5</x:v>
      </x:c>
      <x:c r="K28" s="75" t="n">
        <x:v>5</x:v>
      </x:c>
      <x:c r="L28" s="75" t="n">
        <x:v>5</x:v>
      </x:c>
      <x:c r="M28" s="75" t="n">
        <x:v>5</x:v>
      </x:c>
      <x:c r="N28" s="75" t="n">
        <x:v>4</x:v>
      </x:c>
      <x:c r="O28" s="75" t="n">
        <x:v>4</x:v>
      </x:c>
      <x:c r="P28" s="75" t="str">
        <x:v>Keluar Cepat</x:v>
      </x:c>
      <x:c r="Q28" s="75" t="str">
        <x:v>Ya</x:v>
      </x:c>
      <x:c r="R28" s="75" t="str">
        <x:v>Ukuran teks dan kontras membantu, namun beberapa kartu masih cukup padat.</x:v>
      </x:c>
    </x:row>
    <x:row r="29" ht="38" customHeight="1">
      <x:c r="A29" s="75" t="str">
        <x:v>SYN-25</x:v>
      </x:c>
      <x:c r="B29" s="77" t="str">
        <x:v>SINTETIS</x:v>
      </x:c>
      <x:c r="C29" s="75" t="str">
        <x:v>Pendamping sebaya</x:v>
      </x:c>
      <x:c r="D29" s="75" t="str">
        <x:v>Tidak ada kebutuhan spesifik</x:v>
      </x:c>
      <x:c r="E29" s="75" t="str">
        <x:v>Tablet</x:v>
      </x:c>
      <x:c r="F29" s="75" t="str">
        <x:v>Menemukan materi easy-read</x:v>
      </x:c>
      <x:c r="G29" s="75" t="str">
        <x:v>Berhasil</x:v>
      </x:c>
      <x:c r="H29" s="78" t="n">
        <x:v>7.4</x:v>
      </x:c>
      <x:c r="I29" s="75" t="n">
        <x:v>4</x:v>
      </x:c>
      <x:c r="J29" s="75" t="n">
        <x:v>4</x:v>
      </x:c>
      <x:c r="K29" s="75" t="n">
        <x:v>3</x:v>
      </x:c>
      <x:c r="L29" s="75" t="n">
        <x:v>3</x:v>
      </x:c>
      <x:c r="M29" s="75" t="n">
        <x:v>4</x:v>
      </x:c>
      <x:c r="N29" s="75" t="n">
        <x:v>5</x:v>
      </x:c>
      <x:c r="O29" s="75" t="n">
        <x:v>5</x:v>
      </x:c>
      <x:c r="P29" s="75" t="str">
        <x:v>Asisten Aman AI</x:v>
      </x:c>
      <x:c r="Q29" s="75" t="str">
        <x:v>Ya</x:v>
      </x:c>
      <x:c r="R29" s="75" t="str">
        <x:v>Sumber catatan pada timeline membuat hasil AI terasa lebih dapat diperiksa.</x:v>
      </x:c>
    </x:row>
    <x:row r="30" ht="38" customHeight="1">
      <x:c r="A30" s="75" t="str">
        <x:v>SYN-26</x:v>
      </x:c>
      <x:c r="B30" s="77" t="str">
        <x:v>SINTETIS</x:v>
      </x:c>
      <x:c r="C30" s="75" t="str">
        <x:v>Mahasiswa</x:v>
      </x:c>
      <x:c r="D30" s="75" t="str">
        <x:v>Penglihatan</x:v>
      </x:c>
      <x:c r="E30" s="75" t="str">
        <x:v>Laptop</x:v>
      </x:c>
      <x:c r="F30" s="75" t="str">
        <x:v>Membuat jurnal sintetis</x:v>
      </x:c>
      <x:c r="G30" s="75" t="str">
        <x:v>Berhasil</x:v>
      </x:c>
      <x:c r="H30" s="78" t="n">
        <x:v>4.2</x:v>
      </x:c>
      <x:c r="I30" s="75" t="n">
        <x:v>4</x:v>
      </x:c>
      <x:c r="J30" s="75" t="n">
        <x:v>4</x:v>
      </x:c>
      <x:c r="K30" s="75" t="n">
        <x:v>5</x:v>
      </x:c>
      <x:c r="L30" s="75" t="n">
        <x:v>4</x:v>
      </x:c>
      <x:c r="M30" s="75" t="n">
        <x:v>5</x:v>
      </x:c>
      <x:c r="N30" s="75" t="n">
        <x:v>4</x:v>
      </x:c>
      <x:c r="O30" s="75" t="n">
        <x:v>3</x:v>
      </x:c>
      <x:c r="P30" s="75" t="str">
        <x:v>Aksesibilitas</x:v>
      </x:c>
      <x:c r="Q30" s="75" t="str">
        <x:v>Ya</x:v>
      </x:c>
      <x:c r="R30" s="75" t="str">
        <x:v>Keluar cepat mudah ditemukan dan terasa penting.</x:v>
      </x:c>
    </x:row>
    <x:row r="31" ht="38" customHeight="1">
      <x:c r="A31" s="75" t="str">
        <x:v>SYN-27</x:v>
      </x:c>
      <x:c r="B31" s="77" t="str">
        <x:v>SINTETIS</x:v>
      </x:c>
      <x:c r="C31" s="75" t="str">
        <x:v>Mahasiswa</x:v>
      </x:c>
      <x:c r="D31" s="75" t="str">
        <x:v>Pendengaran</x:v>
      </x:c>
      <x:c r="E31" s="75" t="str">
        <x:v>Laptop</x:v>
      </x:c>
      <x:c r="F31" s="75" t="str">
        <x:v>Menyusun kronologi dengan AI</x:v>
      </x:c>
      <x:c r="G31" s="75" t="str">
        <x:v>Berhasil</x:v>
      </x:c>
      <x:c r="H31" s="78" t="n">
        <x:v>5.5</x:v>
      </x:c>
      <x:c r="I31" s="75" t="n">
        <x:v>5</x:v>
      </x:c>
      <x:c r="J31" s="75" t="n">
        <x:v>5</x:v>
      </x:c>
      <x:c r="K31" s="75" t="n">
        <x:v>5</x:v>
      </x:c>
      <x:c r="L31" s="75" t="n">
        <x:v>5</x:v>
      </x:c>
      <x:c r="M31" s="75" t="n">
        <x:v>4</x:v>
      </x:c>
      <x:c r="N31" s="75" t="n">
        <x:v>5</x:v>
      </x:c>
      <x:c r="O31" s="75" t="n">
        <x:v>4</x:v>
      </x:c>
      <x:c r="P31" s="75" t="str">
        <x:v>Safe Timeline Assistant</x:v>
      </x:c>
      <x:c r="Q31" s="75" t="str">
        <x:v>Ya</x:v>
      </x:c>
      <x:c r="R31" s="75" t="str">
        <x:v>Istilah consent sebaiknya selalu disertai padanan bahasa Indonesia.</x:v>
      </x:c>
    </x:row>
    <x:row r="32" ht="38" customHeight="1">
      <x:c r="A32" s="75" t="str">
        <x:v>SYN-28</x:v>
      </x:c>
      <x:c r="B32" s="77" t="str">
        <x:v>SINTETIS</x:v>
      </x:c>
      <x:c r="C32" s="75" t="str">
        <x:v>Mahasiswa</x:v>
      </x:c>
      <x:c r="D32" s="75" t="str">
        <x:v>Motorik</x:v>
      </x:c>
      <x:c r="E32" s="75" t="str">
        <x:v>Ponsel</x:v>
      </x:c>
      <x:c r="F32" s="75" t="str">
        <x:v>Bertanya kepada Asisten Aman</x:v>
      </x:c>
      <x:c r="G32" s="75" t="str">
        <x:v>Berhasil</x:v>
      </x:c>
      <x:c r="H32" s="78" t="n">
        <x:v>6.8</x:v>
      </x:c>
      <x:c r="I32" s="75" t="n">
        <x:v>3</x:v>
      </x:c>
      <x:c r="J32" s="75" t="n">
        <x:v>4</x:v>
      </x:c>
      <x:c r="K32" s="75" t="n">
        <x:v>4</x:v>
      </x:c>
      <x:c r="L32" s="75" t="n">
        <x:v>3</x:v>
      </x:c>
      <x:c r="M32" s="75" t="n">
        <x:v>5</x:v>
      </x:c>
      <x:c r="N32" s="75" t="n">
        <x:v>4</x:v>
      </x:c>
      <x:c r="O32" s="75" t="n">
        <x:v>5</x:v>
      </x:c>
      <x:c r="P32" s="75" t="str">
        <x:v>Jurnal Aman</x:v>
      </x:c>
      <x:c r="Q32" s="75" t="str">
        <x:v>Mungkin</x:v>
      </x:c>
      <x:c r="R32" s="75" t="str">
        <x:v>Asisten Aman membantu menemukan menu tanpa harus menghafal navigasi.</x:v>
      </x:c>
    </x:row>
    <x:row r="33" ht="38" customHeight="1">
      <x:c r="A33" s="75" t="str">
        <x:v>SYN-29</x:v>
      </x:c>
      <x:c r="B33" s="77" t="str">
        <x:v>SINTETIS</x:v>
      </x:c>
      <x:c r="C33" s="75" t="str">
        <x:v>Mahasiswa</x:v>
      </x:c>
      <x:c r="D33" s="75" t="str">
        <x:v>Neurodivergent/kognitif</x:v>
      </x:c>
      <x:c r="E33" s="75" t="str">
        <x:v>Ponsel</x:v>
      </x:c>
      <x:c r="F33" s="75" t="str">
        <x:v>Meninjau laporan dan consent</x:v>
      </x:c>
      <x:c r="G33" s="75" t="str">
        <x:v>Berhasil</x:v>
      </x:c>
      <x:c r="H33" s="78" t="n">
        <x:v>3.6</x:v>
      </x:c>
      <x:c r="I33" s="75" t="n">
        <x:v>5</x:v>
      </x:c>
      <x:c r="J33" s="75" t="n">
        <x:v>5</x:v>
      </x:c>
      <x:c r="K33" s="75" t="n">
        <x:v>5</x:v>
      </x:c>
      <x:c r="L33" s="75" t="n">
        <x:v>4</x:v>
      </x:c>
      <x:c r="M33" s="75" t="n">
        <x:v>4</x:v>
      </x:c>
      <x:c r="N33" s="75" t="n">
        <x:v>5</x:v>
      </x:c>
      <x:c r="O33" s="75" t="n">
        <x:v>3</x:v>
      </x:c>
      <x:c r="P33" s="75" t="str">
        <x:v>Asisten Aman AI</x:v>
      </x:c>
      <x:c r="Q33" s="75" t="str">
        <x:v>Ya</x:v>
      </x:c>
      <x:c r="R33" s="75" t="str">
        <x:v>Saya sempat ragu apakah laporan benar-benar terkirim; label simulasi perlu lebih menonjol.</x:v>
      </x:c>
    </x:row>
    <x:row r="34" ht="38" customHeight="1">
      <x:c r="A34" s="75" t="str">
        <x:v>SYN-30</x:v>
      </x:c>
      <x:c r="B34" s="77" t="str">
        <x:v>SINTETIS</x:v>
      </x:c>
      <x:c r="C34" s="75" t="str">
        <x:v>Pendamping sebaya</x:v>
      </x:c>
      <x:c r="D34" s="75" t="str">
        <x:v>Multi-disabilitas</x:v>
      </x:c>
      <x:c r="E34" s="75" t="str">
        <x:v>Tablet</x:v>
      </x:c>
      <x:c r="F34" s="75" t="str">
        <x:v>Mengaktifkan aksesibilitas</x:v>
      </x:c>
      <x:c r="G34" s="75" t="str">
        <x:v>Berhasil</x:v>
      </x:c>
      <x:c r="H34" s="78" t="n">
        <x:v>4.9</x:v>
      </x:c>
      <x:c r="I34" s="75" t="n">
        <x:v>5</x:v>
      </x:c>
      <x:c r="J34" s="75" t="n">
        <x:v>5</x:v>
      </x:c>
      <x:c r="K34" s="75" t="n">
        <x:v>5</x:v>
      </x:c>
      <x:c r="L34" s="75" t="n">
        <x:v>5</x:v>
      </x:c>
      <x:c r="M34" s="75" t="n">
        <x:v>5</x:v>
      </x:c>
      <x:c r="N34" s="75" t="n">
        <x:v>4</x:v>
      </x:c>
      <x:c r="O34" s="75" t="n">
        <x:v>4</x:v>
      </x:c>
      <x:c r="P34" s="75" t="str">
        <x:v>Persetujuan berbagi</x:v>
      </x:c>
      <x:c r="Q34" s="75" t="str">
        <x:v>Ya</x:v>
      </x:c>
      <x:c r="R34" s="75" t="str">
        <x:v>Pilihan pendamping dan ruang lingkup izin merupakan bagian yang paling meyakinkan.</x:v>
      </x:c>
    </x:row>
  </x:sheetData>
  <x:mergeCells>
    <x:mergeCell ref="A1:R1"/>
    <x:mergeCell ref="A2:R2"/>
  </x:mergeCells>
  <x:conditionalFormatting sqref="I5:O34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7f96ef08a3d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34" hidden="0" customWidth="1"/>
    <x:col min="6" max="6" width="27" hidden="0" customWidth="1"/>
    <x:col min="7" max="7" width="16" hidden="0" customWidth="1"/>
  </x:cols>
  <x:sheetData>
    <x:row r="1">
      <x:c r="A1" s="4" t="str">
        <x:v>Analisis dan Hipotesis Perbaikan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Rangkuman di bawah berasal dari data sintetis dan harus divalidasi melalui peer testing nyata.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66" t="str">
        <x:v>Temuan simulasi</x:v>
      </x:c>
      <x:c r="B4" s="66" t="str">
        <x:v>Indikator</x:v>
      </x:c>
      <x:c r="C4" s="66" t="str">
        <x:v>Hipotesis penyebab</x:v>
      </x:c>
      <x:c r="D4" s="66" t="str">
        <x:v>Aksi pengujian nyata</x:v>
      </x:c>
      <x:c r="F4" s="66" t="str">
        <x:v>Metrik</x:v>
      </x:c>
      <x:c r="G4" s="66" t="str">
        <x:v>Nilai</x:v>
      </x:c>
    </x:row>
    <x:row r="5" ht="55" customHeight="1">
      <x:c r="A5" s="81" t="str">
        <x:v>Kendali manusia dinilai tinggi</x:v>
      </x:c>
      <x:c r="B5" s="81" t="str">
        <x:v>Rata-rata Kendali manusia</x:v>
      </x:c>
      <x:c r="C5" s="81" t="str">
        <x:v>Tombol edit/terima/tolak terlihat jelas</x:v>
      </x:c>
      <x:c r="D5" s="81" t="str">
        <x:v>Minta peserta menjelaskan siapa yang membuat keputusan akhir</x:v>
      </x:c>
      <x:c r="F5" t="str">
        <x:v>Respons sintetis</x:v>
      </x:c>
      <x:c r="G5" t="n">
        <x:f>Dashboard!A7</x:f>
        <x:v>30</x:v>
      </x:c>
    </x:row>
    <x:row r="6" ht="55" customHeight="1">
      <x:c r="A6" s="81" t="str">
        <x:v>Kepercayaan AI lebih rendah dari kendali</x:v>
      </x:c>
      <x:c r="B6" s="81" t="str">
        <x:v>Bandingkan Kepercayaan AI vs Kendali manusia</x:v>
      </x:c>
      <x:c r="C6" s="81" t="str">
        <x:v>Pengguna berhati-hati pada keluaran AI</x:v>
      </x:c>
      <x:c r="D6" s="81" t="str">
        <x:v>Uji pemahaman label draf dan sumber catatan</x:v>
      </x:c>
      <x:c r="F6" t="str">
        <x:v>Rata-rata seluruh skor</x:v>
      </x:c>
      <x:c r="G6" s="67" t="n">
        <x:f>Dashboard!D7</x:f>
        <x:v>4.319047619047619</x:v>
      </x:c>
    </x:row>
    <x:row r="7" ht="55" customHeight="1">
      <x:c r="A7" s="81" t="str">
        <x:v>Sebagian skenario perlu bantuan</x:v>
      </x:c>
      <x:c r="B7" s="81" t="str">
        <x:v>Task success dan waktu</x:v>
      </x:c>
      <x:c r="C7" s="81" t="str">
        <x:v>Istilah atau navigasi masih padat</x:v>
      </x:c>
      <x:c r="D7" s="81" t="str">
        <x:v>Catat titik peserta meminta bantuan</x:v>
      </x:c>
      <x:c r="F7" t="str">
        <x:v>Rata-rata kendali manusia</x:v>
      </x:c>
      <x:c r="G7" s="67" t="n">
        <x:f>AVERAGE(Data_Sintetis!M5:M34)</x:f>
        <x:v>4.5</x:v>
      </x:c>
    </x:row>
    <x:row r="8" ht="55" customHeight="1">
      <x:c r="A8" s="81" t="str">
        <x:v>Chatbot membantu navigasi</x:v>
      </x:c>
      <x:c r="B8" s="81" t="str">
        <x:v>Skor Kegunaan chatbot</x:v>
      </x:c>
      <x:c r="C8" s="81" t="str">
        <x:v>Prompt cepat mengurangi pencarian menu</x:v>
      </x:c>
      <x:c r="D8" s="81" t="str">
        <x:v>Uji tanpa memberi petunjuk lokasi menu</x:v>
      </x:c>
      <x:c r="F8" t="str">
        <x:v>Rata-rata kepercayaan AI</x:v>
      </x:c>
      <x:c r="G8" s="67" t="n">
        <x:f>AVERAGE(Data_Sintetis!L5:L34)</x:f>
        <x:v>4</x:v>
      </x:c>
    </x:row>
    <x:row r="9" ht="55" customHeight="1">
      <x:c r="A9" s="81" t="str">
        <x:v>Aksesibilitas bervariasi antarkebutuhan</x:v>
      </x:c>
      <x:c r="B9" s="81" t="str">
        <x:v>Rata-rata per kelompok</x:v>
      </x:c>
      <x:c r="C9" s="81" t="str">
        <x:v>Satu konfigurasi belum cocok untuk semua</x:v>
      </x:c>
      <x:c r="D9" s="81" t="str">
        <x:v>Libatkan pengguna dengan kebutuhan akses berbeda</x:v>
      </x:c>
      <x:c r="F9" t="str">
        <x:v>Task success</x:v>
      </x:c>
      <x:c r="G9" s="82" t="n">
        <x:f>Dashboard!G7</x:f>
        <x:v>0.9</x:v>
      </x:c>
    </x:row>
    <x:row r="10" ht="55" customHeight="1">
      <x:c r="A10" s="81" t="str">
        <x:v>Label simulasi perlu menonjol</x:v>
      </x:c>
      <x:c r="B10" s="81" t="str">
        <x:v>Feedback terbuka</x:v>
      </x:c>
      <x:c r="C10" s="81" t="str">
        <x:v>Pengguna dapat mengira aksi benar-benar terkirim</x:v>
      </x:c>
      <x:c r="D10" s="81" t="str">
        <x:v>Tanyakan ulang status pengiriman setelah demo</x:v>
      </x:c>
      <x:c r="F10" t="str">
        <x:v>Waktu rata-rata</x:v>
      </x:c>
      <x:c r="G10" s="83" t="n">
        <x:f>Dashboard!J7</x:f>
        <x:v>5.49</x:v>
      </x:c>
    </x:row>
    <x:row r="11">
      <x:c r="F11" t="str">
        <x:v>Minat menggunakan</x:v>
      </x:c>
      <x:c r="G11" s="82" t="n">
        <x:f>Dashboard!M7</x:f>
        <x:v>0.8666666666666667</x:v>
      </x:c>
    </x:row>
    <x:row r="13">
      <x:c r="F13" s="112" t="str">
        <x:v>Peringatan metodologis</x:v>
      </x:c>
      <x:c r="G13" s="103" t="str">
        <x:v>Data sintetis berguna untuk menguji struktur analisis, bukan untuk membuktikan kegunaan, aksesibilitas, keamanan, atau penerimaan produk. Tidak ada inferensi statistik yang sah terhadap populasi pengguna.</x:v>
      </x:c>
      <x:c r="H13" s="103"/>
      <x:c r="I13" s="103"/>
      <x:c r="J13" s="104"/>
    </x:row>
    <x:row r="14">
      <x:c r="F14" s="105"/>
      <x:c r="G14" s="106"/>
      <x:c r="H14" s="106"/>
      <x:c r="I14" s="106"/>
      <x:c r="J14" s="107"/>
    </x:row>
    <x:row r="15">
      <x:c r="F15" s="105"/>
      <x:c r="G15" s="106"/>
      <x:c r="H15" s="106"/>
      <x:c r="I15" s="106"/>
      <x:c r="J15" s="107"/>
    </x:row>
    <x:row r="16">
      <x:c r="F16" s="105"/>
      <x:c r="G16" s="106"/>
      <x:c r="H16" s="106"/>
      <x:c r="I16" s="106"/>
      <x:c r="J16" s="107"/>
    </x:row>
    <x:row r="17">
      <x:c r="F17" s="105"/>
      <x:c r="G17" s="106"/>
      <x:c r="H17" s="106"/>
      <x:c r="I17" s="106"/>
      <x:c r="J17" s="107"/>
    </x:row>
    <x:row r="18">
      <x:c r="F18" s="108"/>
      <x:c r="G18" s="109"/>
      <x:c r="H18" s="109"/>
      <x:c r="I18" s="109"/>
      <x:c r="J18" s="110"/>
    </x:row>
  </x:sheetData>
  <x:mergeCells>
    <x:mergeCell ref="A1:J1"/>
    <x:mergeCell ref="A2:J2"/>
    <x:mergeCell ref="G13:J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43" hidden="0" customWidth="1"/>
    <x:col min="4" max="4" width="18" hidden="0" customWidth="1"/>
    <x:col min="5" max="5" width="42" hidden="0" customWidth="1"/>
    <x:col min="6" max="6" width="22" hidden="0" customWidth="1"/>
    <x:col min="7" max="7" width="11" hidden="0" customWidth="1"/>
    <x:col min="8" max="8" width="34" hidden="0" customWidth="1"/>
  </x:cols>
  <x:sheetData>
    <x:row r="1">
      <x:c r="A1" s="4" t="str">
        <x:v>Instrumen Peer Testing AmanAkses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Template siap digunakan untuk 3–5 mahasiswa. Isi hanya setelah persetujuan dan pengujian nyata.</x:v>
      </x:c>
      <x:c r="B2" s="7"/>
      <x:c r="C2" s="7"/>
      <x:c r="D2" s="7"/>
      <x:c r="E2" s="7"/>
      <x:c r="F2" s="7"/>
      <x:c r="G2" s="7"/>
      <x:c r="H2" s="7"/>
    </x:row>
    <x:row r="4">
      <x:c r="A4" s="66" t="str">
        <x:v>No.</x:v>
      </x:c>
      <x:c r="B4" s="66" t="str">
        <x:v>Bagian</x:v>
      </x:c>
      <x:c r="C4" s="66" t="str">
        <x:v>Pertanyaan / tugas</x:v>
      </x:c>
      <x:c r="D4" s="66" t="str">
        <x:v>Jenis jawaban</x:v>
      </x:c>
      <x:c r="E4" s="66" t="str">
        <x:v>Skala / opsi</x:v>
      </x:c>
      <x:c r="F4" s="66" t="str">
        <x:v>Tujuan ukur</x:v>
      </x:c>
      <x:c r="G4" s="66" t="str">
        <x:v>Wajib?</x:v>
      </x:c>
      <x:c r="H4" s="66" t="str">
        <x:v>Catatan moderator</x:v>
      </x:c>
    </x:row>
    <x:row r="5" ht="44" customHeight="1">
      <x:c r="A5" s="81" t="n">
        <x:v>1</x:v>
      </x:c>
      <x:c r="B5" s="81" t="str">
        <x:v>Profil minimum</x:v>
      </x:c>
      <x:c r="C5" s="81" t="str">
        <x:v>Peran peserta</x:v>
      </x:c>
      <x:c r="D5" s="81" t="str">
        <x:v>Pilihan tunggal</x:v>
      </x:c>
      <x:c r="E5" s="81" t="str">
        <x:v>Mahasiswa / pendamping sebaya</x:v>
      </x:c>
      <x:c r="F5" s="81" t="str">
        <x:v>Konteks peserta</x:v>
      </x:c>
      <x:c r="G5" s="81" t="str">
        <x:v>Ya</x:v>
      </x:c>
      <x:c r="H5" s="81" t="str">
        <x:v>Tidak meminta identitas pribadi</x:v>
      </x:c>
    </x:row>
    <x:row r="6" ht="44" customHeight="1">
      <x:c r="A6" s="81" t="n">
        <x:v>2</x:v>
      </x:c>
      <x:c r="B6" s="81" t="str">
        <x:v>Profil minimum</x:v>
      </x:c>
      <x:c r="C6" s="81" t="str">
        <x:v>Kebutuhan akses yang relevan untuk pengujian</x:v>
      </x:c>
      <x:c r="D6" s="81" t="str">
        <x:v>Pilihan ganda</x:v>
      </x:c>
      <x:c r="E6" s="81" t="str">
        <x:v>Tidak ada kebutuhan spesifik / Penglihatan / Pendengaran / Motorik / Neurodivergent/kognitif / Multi-disabilitas</x:v>
      </x:c>
      <x:c r="F6" s="81" t="str">
        <x:v>Kebutuhan akomodasi</x:v>
      </x:c>
      <x:c r="G6" s="81" t="str">
        <x:v>Opsional</x:v>
      </x:c>
      <x:c r="H6" s="81" t="str">
        <x:v>Peserta boleh tidak menjawab</x:v>
      </x:c>
    </x:row>
    <x:row r="7" ht="44" customHeight="1">
      <x:c r="A7" s="81" t="n">
        <x:v>3</x:v>
      </x:c>
      <x:c r="B7" s="81" t="str">
        <x:v>Tugas</x:v>
      </x:c>
      <x:c r="C7" s="81" t="str">
        <x:v>Temukan materi easy-read</x:v>
      </x:c>
      <x:c r="D7" s="81" t="str">
        <x:v>Observasi</x:v>
      </x:c>
      <x:c r="E7" s="81" t="str">
        <x:v>Berhasil / perlu bantuan</x:v>
      </x:c>
      <x:c r="F7" s="81" t="str">
        <x:v>Findability</x:v>
      </x:c>
      <x:c r="G7" s="81" t="str">
        <x:v>Ya</x:v>
      </x:c>
      <x:c r="H7" s="81" t="str">
        <x:v>Catat waktu dan hambatan</x:v>
      </x:c>
    </x:row>
    <x:row r="8" ht="44" customHeight="1">
      <x:c r="A8" s="81" t="n">
        <x:v>4</x:v>
      </x:c>
      <x:c r="B8" s="81" t="str">
        <x:v>Tugas</x:v>
      </x:c>
      <x:c r="C8" s="81" t="str">
        <x:v>Buat jurnal dengan data sintetis</x:v>
      </x:c>
      <x:c r="D8" s="81" t="str">
        <x:v>Observasi</x:v>
      </x:c>
      <x:c r="E8" s="81" t="str">
        <x:v>Berhasil / perlu bantuan</x:v>
      </x:c>
      <x:c r="F8" s="81" t="str">
        <x:v>Kejelasan alur</x:v>
      </x:c>
      <x:c r="G8" s="81" t="str">
        <x:v>Ya</x:v>
      </x:c>
      <x:c r="H8" s="81" t="str">
        <x:v>Jangan memakai pengalaman nyata</x:v>
      </x:c>
    </x:row>
    <x:row r="9" ht="44" customHeight="1">
      <x:c r="A9" s="81" t="n">
        <x:v>5</x:v>
      </x:c>
      <x:c r="B9" s="81" t="str">
        <x:v>Tugas</x:v>
      </x:c>
      <x:c r="C9" s="81" t="str">
        <x:v>Susun timeline dari tiga catatan sintetis</x:v>
      </x:c>
      <x:c r="D9" s="81" t="str">
        <x:v>Observasi</x:v>
      </x:c>
      <x:c r="E9" s="81" t="str">
        <x:v>Berhasil / perlu bantuan</x:v>
      </x:c>
      <x:c r="F9" s="81" t="str">
        <x:v>Pemahaman AI</x:v>
      </x:c>
      <x:c r="G9" s="81" t="str">
        <x:v>Ya</x:v>
      </x:c>
      <x:c r="H9" s="81" t="str">
        <x:v>Tanyakan arti sumber dan ketidakpastian</x:v>
      </x:c>
    </x:row>
    <x:row r="10" ht="44" customHeight="1">
      <x:c r="A10" s="81" t="n">
        <x:v>6</x:v>
      </x:c>
      <x:c r="B10" s="81" t="str">
        <x:v>Tugas</x:v>
      </x:c>
      <x:c r="C10" s="81" t="str">
        <x:v>Gunakan chatbot untuk menemukan menu pendamping</x:v>
      </x:c>
      <x:c r="D10" s="81" t="str">
        <x:v>Observasi</x:v>
      </x:c>
      <x:c r="E10" s="81" t="str">
        <x:v>Berhasil / perlu bantuan</x:v>
      </x:c>
      <x:c r="F10" s="81" t="str">
        <x:v>Kegunaan chatbot</x:v>
      </x:c>
      <x:c r="G10" s="81" t="str">
        <x:v>Ya</x:v>
      </x:c>
      <x:c r="H10" s="81" t="str">
        <x:v>Jangan memberi lokasi menu</x:v>
      </x:c>
    </x:row>
    <x:row r="11" ht="44" customHeight="1">
      <x:c r="A11" s="81" t="n">
        <x:v>7</x:v>
      </x:c>
      <x:c r="B11" s="81" t="str">
        <x:v>Likert</x:v>
      </x:c>
      <x:c r="C11" s="81" t="str">
        <x:v>AmanAkses mudah digunakan</x:v>
      </x:c>
      <x:c r="D11" s="81" t="str">
        <x:v>Skala 1–5</x:v>
      </x:c>
      <x:c r="E11" s="81" t="str">
        <x:v>1 sangat tidak setuju – 5 sangat setuju</x:v>
      </x:c>
      <x:c r="F11" s="81" t="str">
        <x:v>Kemudahan</x:v>
      </x:c>
      <x:c r="G11" s="81" t="str">
        <x:v>Ya</x:v>
      </x:c>
      <x:c r="H11" s="81" t="str"/>
    </x:row>
    <x:row r="12" ht="44" customHeight="1">
      <x:c r="A12" s="81" t="n">
        <x:v>8</x:v>
      </x:c>
      <x:c r="B12" s="81" t="str">
        <x:v>Likert</x:v>
      </x:c>
      <x:c r="C12" s="81" t="str">
        <x:v>Bahasa dan instruksi mudah dipahami</x:v>
      </x:c>
      <x:c r="D12" s="81" t="str">
        <x:v>Skala 1–5</x:v>
      </x:c>
      <x:c r="E12" s="81" t="str">
        <x:v>1–5</x:v>
      </x:c>
      <x:c r="F12" s="81" t="str">
        <x:v>Kejelasan</x:v>
      </x:c>
      <x:c r="G12" s="81" t="str">
        <x:v>Ya</x:v>
      </x:c>
      <x:c r="H12" s="81" t="str"/>
    </x:row>
    <x:row r="13" ht="44" customHeight="1">
      <x:c r="A13" s="81" t="n">
        <x:v>9</x:v>
      </x:c>
      <x:c r="B13" s="81" t="str">
        <x:v>Likert</x:v>
      </x:c>
      <x:c r="C13" s="81" t="str">
        <x:v>Pengaturan aksesibilitas membantu</x:v>
      </x:c>
      <x:c r="D13" s="81" t="str">
        <x:v>Skala 1–5</x:v>
      </x:c>
      <x:c r="E13" s="81" t="str">
        <x:v>1–5</x:v>
      </x:c>
      <x:c r="F13" s="81" t="str">
        <x:v>Aksesibilitas</x:v>
      </x:c>
      <x:c r="G13" s="81" t="str">
        <x:v>Ya</x:v>
      </x:c>
      <x:c r="H13" s="81" t="str"/>
    </x:row>
    <x:row r="14" ht="44" customHeight="1">
      <x:c r="A14" s="81" t="n">
        <x:v>10</x:v>
      </x:c>
      <x:c r="B14" s="81" t="str">
        <x:v>Likert</x:v>
      </x:c>
      <x:c r="C14" s="81" t="str">
        <x:v>Saya memahami bahwa hasil AI adalah draf</x:v>
      </x:c>
      <x:c r="D14" s="81" t="str">
        <x:v>Skala 1–5</x:v>
      </x:c>
      <x:c r="E14" s="81" t="str">
        <x:v>1–5</x:v>
      </x:c>
      <x:c r="F14" s="81" t="str">
        <x:v>Literasi AI</x:v>
      </x:c>
      <x:c r="G14" s="81" t="str">
        <x:v>Ya</x:v>
      </x:c>
      <x:c r="H14" s="81" t="str"/>
    </x:row>
    <x:row r="15" ht="44" customHeight="1">
      <x:c r="A15" s="81" t="n">
        <x:v>11</x:v>
      </x:c>
      <x:c r="B15" s="81" t="str">
        <x:v>Likert</x:v>
      </x:c>
      <x:c r="C15" s="81" t="str">
        <x:v>Saya tetap merasa memegang kendali</x:v>
      </x:c>
      <x:c r="D15" s="81" t="str">
        <x:v>Skala 1–5</x:v>
      </x:c>
      <x:c r="E15" s="81" t="str">
        <x:v>1–5</x:v>
      </x:c>
      <x:c r="F15" s="81" t="str">
        <x:v>Human agency</x:v>
      </x:c>
      <x:c r="G15" s="81" t="str">
        <x:v>Ya</x:v>
      </x:c>
      <x:c r="H15" s="81" t="str"/>
    </x:row>
    <x:row r="16" ht="44" customHeight="1">
      <x:c r="A16" s="81" t="n">
        <x:v>12</x:v>
      </x:c>
      <x:c r="B16" s="81" t="str">
        <x:v>Likert</x:v>
      </x:c>
      <x:c r="C16" s="81" t="str">
        <x:v>Safe Timeline Assistant membantu menata catatan</x:v>
      </x:c>
      <x:c r="D16" s="81" t="str">
        <x:v>Skala 1–5</x:v>
      </x:c>
      <x:c r="E16" s="81" t="str">
        <x:v>1–5</x:v>
      </x:c>
      <x:c r="F16" s="81" t="str">
        <x:v>Kegunaan AI</x:v>
      </x:c>
      <x:c r="G16" s="81" t="str">
        <x:v>Ya</x:v>
      </x:c>
      <x:c r="H16" s="81" t="str"/>
    </x:row>
    <x:row r="17" ht="44" customHeight="1">
      <x:c r="A17" s="81" t="n">
        <x:v>13</x:v>
      </x:c>
      <x:c r="B17" s="81" t="str">
        <x:v>Likert</x:v>
      </x:c>
      <x:c r="C17" s="81" t="str">
        <x:v>Asisten Aman membantu menemukan langkah berikutnya</x:v>
      </x:c>
      <x:c r="D17" s="81" t="str">
        <x:v>Skala 1–5</x:v>
      </x:c>
      <x:c r="E17" s="81" t="str">
        <x:v>1–5</x:v>
      </x:c>
      <x:c r="F17" s="81" t="str">
        <x:v>Kegunaan chatbot</x:v>
      </x:c>
      <x:c r="G17" s="81" t="str">
        <x:v>Ya</x:v>
      </x:c>
      <x:c r="H17" s="81" t="str"/>
    </x:row>
    <x:row r="18" ht="44" customHeight="1">
      <x:c r="A18" s="81" t="n">
        <x:v>14</x:v>
      </x:c>
      <x:c r="B18" s="81" t="str">
        <x:v>Terbuka</x:v>
      </x:c>
      <x:c r="C18" s="81" t="str">
        <x:v>Apa satu hal yang membingungkan atau membuat ragu?</x:v>
      </x:c>
      <x:c r="D18" s="81" t="str">
        <x:v>Teks</x:v>
      </x:c>
      <x:c r="E18" s="81" t="str">
        <x:v>Jawaban bebas</x:v>
      </x:c>
      <x:c r="F18" s="81" t="str">
        <x:v>Masalah utama</x:v>
      </x:c>
      <x:c r="G18" s="81" t="str">
        <x:v>Ya</x:v>
      </x:c>
      <x:c r="H18" s="81" t="str">
        <x:v>Hindari meminta cerita kasus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4" max="4" width="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Catatan Etis dan Cara Mengganti Data</x:v>
      </x:c>
      <x:c r="B1" s="4"/>
      <x:c r="C1" s="4"/>
      <x:c r="D1" s="4"/>
      <x:c r="E1" s="4"/>
      <x:c r="F1" s="4"/>
      <x:c r="G1" s="4"/>
      <x:c r="H1" s="4"/>
    </x:row>
    <x:row r="2">
      <x:c r="A2" s="7" t="str">
        <x:v>Dokumentasi ini mencegah data simulasi tertukar dengan bukti pengujian nyata.</x:v>
      </x:c>
      <x:c r="B2" s="7"/>
      <x:c r="C2" s="7"/>
      <x:c r="D2" s="7"/>
      <x:c r="E2" s="7"/>
      <x:c r="F2" s="7"/>
      <x:c r="G2" s="7"/>
      <x:c r="H2" s="7"/>
    </x:row>
    <x:row r="4">
      <x:c r="A4" s="66" t="str">
        <x:v>Prinsip</x:v>
      </x:c>
      <x:c r="B4" s="66" t="str">
        <x:v>Penerapan</x:v>
      </x:c>
      <x:c r="D4" s="66" t="str">
        <x:v>Langkah mengganti dengan data nyata</x:v>
      </x:c>
      <x:c r="E4" s="66"/>
      <x:c r="F4" s="66"/>
      <x:c r="G4" s="66"/>
      <x:c r="H4" s="66"/>
    </x:row>
    <x:row r="5" ht="48" customHeight="1">
      <x:c r="A5" s="81" t="str">
        <x:v>Status data</x:v>
      </x:c>
      <x:c r="B5" s="81" t="str">
        <x:v>Semua baris pada workbook ini berlabel SINTETIS dan tidak mewakili orang nyata.</x:v>
      </x:c>
      <x:c r="D5" s="115" t="str">
        <x:v>1</x:v>
      </x:c>
      <x:c r="E5" s="81" t="str">
        <x:v>Duplikasi workbook — simpan data sintetis sebagai bukti desain; jangan menimpanya.</x:v>
      </x:c>
      <x:c r="F5" s="81"/>
      <x:c r="G5" s="81"/>
      <x:c r="H5" s="81"/>
    </x:row>
    <x:row r="6" ht="48" customHeight="1">
      <x:c r="A6" s="81" t="str">
        <x:v>Tidak ada data sensitif</x:v>
      </x:c>
      <x:c r="B6" s="81" t="str">
        <x:v>Tidak terdapat nama, kontak, pengalaman kekerasan, bukti, atau identitas nyata.</x:v>
      </x:c>
      <x:c r="D6" s="115" t="str">
        <x:v>2</x:v>
      </x:c>
      <x:c r="E6" s="81" t="str">
        <x:v>Buat sheet Data_Nyata — gunakan struktur kolom yang sama dan kode peserta anonim.</x:v>
      </x:c>
      <x:c r="F6" s="81"/>
      <x:c r="G6" s="81"/>
      <x:c r="H6" s="81"/>
    </x:row>
    <x:row r="7" ht="48" customHeight="1">
      <x:c r="A7" s="81" t="str">
        <x:v>Tujuan</x:v>
      </x:c>
      <x:c r="B7" s="81" t="str">
        <x:v>Menguji struktur dashboard, rumus, visualisasi, dan rancangan instrumen.</x:v>
      </x:c>
      <x:c r="D7" s="115" t="str">
        <x:v>3</x:v>
      </x:c>
      <x:c r="E7" s="81" t="str">
        <x:v>Catat persetujuan — simpan status persetujuan tanpa data kasus atau identitas sensitif.</x:v>
      </x:c>
      <x:c r="F7" s="81"/>
      <x:c r="G7" s="81"/>
      <x:c r="H7" s="81"/>
    </x:row>
    <x:row r="8" ht="48" customHeight="1">
      <x:c r="A8" s="81" t="str">
        <x:v>Larangan klaim</x:v>
      </x:c>
      <x:c r="B8" s="81" t="str">
        <x:v>Jangan menyebut angka workbook sebagai hasil validasi pengguna, dampak, atau kepuasan aktual.</x:v>
      </x:c>
      <x:c r="D8" s="115" t="str">
        <x:v>4</x:v>
      </x:c>
      <x:c r="E8" s="81" t="str">
        <x:v>Perbarui formula — arahkan dashboard salinan ke Data_Nyata dan tandai tanggal pengujian.</x:v>
      </x:c>
      <x:c r="F8" s="81"/>
      <x:c r="G8" s="81"/>
      <x:c r="H8" s="81"/>
    </x:row>
    <x:row r="9" ht="48" customHeight="1">
      <x:c r="A9" s="81" t="str">
        <x:v>Pengujian nyata</x:v>
      </x:c>
      <x:c r="B9" s="81" t="str">
        <x:v>Gunakan data sintetis selama tugas; minta peserta menguji fitur menggunakan skenario buatan.</x:v>
      </x:c>
      <x:c r="D9" s="115" t="str">
        <x:v>5</x:v>
      </x:c>
      <x:c r="E9" s="81" t="str">
        <x:v>Laporkan apa adanya — untuk 3–5 peserta, gunakan bahasa deskriptif dan jangan menggeneralisasi.</x:v>
      </x:c>
      <x:c r="F9" s="81"/>
      <x:c r="G9" s="81"/>
      <x:c r="H9" s="81"/>
    </x:row>
    <x:row r="10" ht="48" customHeight="1">
      <x:c r="A10" s="81" t="str">
        <x:v>Persetujuan</x:v>
      </x:c>
      <x:c r="B10" s="81" t="str">
        <x:v>Jelaskan tujuan, durasi, penggunaan data, sifat sukarela, dan hak berhenti.</x:v>
      </x:c>
      <x:c r="D10" s="115" t="str">
        <x:v>6</x:v>
      </x:c>
      <x:c r="E10" s="81" t="str">
        <x:v>Dokumentasikan revisi — hubungkan temuan, perubahan produk, dan masalah yang masih tersisa.</x:v>
      </x:c>
      <x:c r="F10" s="81"/>
      <x:c r="G10" s="81"/>
      <x:c r="H10" s="81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